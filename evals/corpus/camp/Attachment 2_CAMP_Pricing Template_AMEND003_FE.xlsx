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lapedratolson/Desktop/DOS CAMP/Amendments and QA/"/>
    </mc:Choice>
  </mc:AlternateContent>
  <xr:revisionPtr revIDLastSave="0" documentId="13_ncr:1_{A51D33F7-D1C7-8340-97AA-5EDB001BFD52}" xr6:coauthVersionLast="47" xr6:coauthVersionMax="47" xr10:uidLastSave="{00000000-0000-0000-0000-000000000000}"/>
  <bookViews>
    <workbookView xWindow="4040" yWindow="1060" windowWidth="37000" windowHeight="21940" tabRatio="1000" activeTab="7" xr2:uid="{875DBB49-9120-4003-BA7F-9D22CD7213D5}"/>
  </bookViews>
  <sheets>
    <sheet name="Instructions" sheetId="2" r:id="rId1"/>
    <sheet name="LCATs &amp; Rates" sheetId="3" r:id="rId2"/>
    <sheet name="BASE &amp; OPTION" sheetId="14" r:id="rId3"/>
    <sheet name="BASE &amp; OPTION_Project Manager" sheetId="4" r:id="rId4"/>
    <sheet name="BASE &amp; OPTION_Product Design" sheetId="8" r:id="rId5"/>
    <sheet name="BASE &amp; OPTION_Engineering" sheetId="9" r:id="rId6"/>
    <sheet name="BASE &amp; OPTION_DevOps" sheetId="15" r:id="rId7"/>
    <sheet name="BASE &amp; OPTION_On Call Support" sheetId="16" r:id="rId8"/>
    <sheet name="5a_Project Manager" sheetId="17" r:id="rId9"/>
    <sheet name="5b_Product Design" sheetId="18" r:id="rId10"/>
    <sheet name="5c_Engineering" sheetId="19" r:id="rId11"/>
    <sheet name="5d_DevOps" sheetId="20" r:id="rId12"/>
  </sheets>
  <definedNames>
    <definedName name="_xlnm._FilterDatabase" localSheetId="8" hidden="1">'5a_Project Manager'!$A$2:$E$15</definedName>
    <definedName name="_xlnm._FilterDatabase" localSheetId="9" hidden="1">'5b_Product Design'!$A$2:$E$15</definedName>
    <definedName name="_xlnm._FilterDatabase" localSheetId="10" hidden="1">'5c_Engineering'!$A$2:$E$15</definedName>
    <definedName name="_xlnm._FilterDatabase" localSheetId="11" hidden="1">'5d_DevOps'!$A$2:$E$15</definedName>
    <definedName name="_xlnm._FilterDatabase" localSheetId="6" hidden="1">'BASE &amp; OPTION_DevOps'!$A$2:$E$15</definedName>
    <definedName name="_xlnm._FilterDatabase" localSheetId="5" hidden="1">'BASE &amp; OPTION_Engineering'!$A$2:$E$15</definedName>
    <definedName name="_xlnm._FilterDatabase" localSheetId="7" hidden="1">'BASE &amp; OPTION_On Call Support'!$A$2:$E$15</definedName>
    <definedName name="_xlnm._FilterDatabase" localSheetId="4" hidden="1">'BASE &amp; OPTION_Product Design'!$A$2:$E$15</definedName>
    <definedName name="_xlnm._FilterDatabase" localSheetId="3" hidden="1">'BASE &amp; OPTION_Project Manager'!$A$2:$E$15</definedName>
    <definedName name="_xlnm._FilterDatabase" localSheetId="1" hidden="1">'LCATs &amp; Rates'!$A$4:$B$35</definedName>
    <definedName name="_Hlk183085033" localSheetId="2">'BASE &amp; OPTION'!$B$7</definedName>
    <definedName name="_Hlk183096932" localSheetId="2">'BASE &amp; OPTION'!$B$1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 i="20" l="1"/>
  <c r="F74" i="20"/>
  <c r="F76" i="20" s="1"/>
  <c r="F49" i="20"/>
  <c r="F48" i="20"/>
  <c r="F50" i="20" s="1"/>
  <c r="F23" i="20"/>
  <c r="F22" i="20"/>
  <c r="F24" i="20" s="1"/>
  <c r="C14" i="20"/>
  <c r="E14" i="20" s="1"/>
  <c r="C13" i="20"/>
  <c r="E13" i="20" s="1"/>
  <c r="C12" i="20"/>
  <c r="E12" i="20" s="1"/>
  <c r="C11" i="20"/>
  <c r="E11" i="20" s="1"/>
  <c r="C10" i="20"/>
  <c r="E10" i="20" s="1"/>
  <c r="C9" i="20"/>
  <c r="E9" i="20" s="1"/>
  <c r="C8" i="20"/>
  <c r="E8" i="20" s="1"/>
  <c r="C7" i="20"/>
  <c r="E7" i="20" s="1"/>
  <c r="C6" i="20"/>
  <c r="E6" i="20" s="1"/>
  <c r="C5" i="20"/>
  <c r="E5" i="20" s="1"/>
  <c r="C4" i="20"/>
  <c r="E4" i="20" s="1"/>
  <c r="C3" i="20"/>
  <c r="E3" i="20" s="1"/>
  <c r="F75" i="19"/>
  <c r="F74" i="19"/>
  <c r="F76" i="19" s="1"/>
  <c r="F49" i="19"/>
  <c r="F48" i="19"/>
  <c r="F50" i="19" s="1"/>
  <c r="F23" i="19"/>
  <c r="F22" i="19"/>
  <c r="F24" i="19" s="1"/>
  <c r="C14" i="19"/>
  <c r="E14" i="19" s="1"/>
  <c r="C13" i="19"/>
  <c r="E13" i="19" s="1"/>
  <c r="C12" i="19"/>
  <c r="E12" i="19" s="1"/>
  <c r="C11" i="19"/>
  <c r="E11" i="19" s="1"/>
  <c r="C10" i="19"/>
  <c r="E10" i="19" s="1"/>
  <c r="C9" i="19"/>
  <c r="E9" i="19" s="1"/>
  <c r="C8" i="19"/>
  <c r="E8" i="19" s="1"/>
  <c r="C7" i="19"/>
  <c r="E7" i="19" s="1"/>
  <c r="C6" i="19"/>
  <c r="E6" i="19" s="1"/>
  <c r="C5" i="19"/>
  <c r="E5" i="19" s="1"/>
  <c r="C4" i="19"/>
  <c r="E4" i="19" s="1"/>
  <c r="C3" i="19"/>
  <c r="E3" i="19" s="1"/>
  <c r="F75" i="18"/>
  <c r="F74" i="18"/>
  <c r="F76" i="18" s="1"/>
  <c r="F49" i="18"/>
  <c r="F48" i="18"/>
  <c r="F50" i="18" s="1"/>
  <c r="F23" i="18"/>
  <c r="F22" i="18"/>
  <c r="F24" i="18" s="1"/>
  <c r="C14" i="18"/>
  <c r="E14" i="18" s="1"/>
  <c r="C13" i="18"/>
  <c r="E13" i="18" s="1"/>
  <c r="C12" i="18"/>
  <c r="E12" i="18" s="1"/>
  <c r="C11" i="18"/>
  <c r="E11" i="18" s="1"/>
  <c r="C10" i="18"/>
  <c r="E10" i="18" s="1"/>
  <c r="C9" i="18"/>
  <c r="E9" i="18" s="1"/>
  <c r="C8" i="18"/>
  <c r="E8" i="18" s="1"/>
  <c r="C7" i="18"/>
  <c r="E7" i="18" s="1"/>
  <c r="C6" i="18"/>
  <c r="E6" i="18" s="1"/>
  <c r="C5" i="18"/>
  <c r="E5" i="18" s="1"/>
  <c r="C4" i="18"/>
  <c r="E4" i="18" s="1"/>
  <c r="C3" i="18"/>
  <c r="E3" i="18" s="1"/>
  <c r="F75" i="17"/>
  <c r="F74" i="17"/>
  <c r="F76" i="17" s="1"/>
  <c r="F49" i="17"/>
  <c r="F48" i="17"/>
  <c r="F50" i="17" s="1"/>
  <c r="F23" i="17"/>
  <c r="F22" i="17"/>
  <c r="F24" i="17" s="1"/>
  <c r="C14" i="17"/>
  <c r="E14" i="17" s="1"/>
  <c r="C13" i="17"/>
  <c r="E13" i="17" s="1"/>
  <c r="C12" i="17"/>
  <c r="E12" i="17" s="1"/>
  <c r="C11" i="17"/>
  <c r="E11" i="17" s="1"/>
  <c r="C10" i="17"/>
  <c r="E10" i="17" s="1"/>
  <c r="C9" i="17"/>
  <c r="E9" i="17" s="1"/>
  <c r="C8" i="17"/>
  <c r="E8" i="17" s="1"/>
  <c r="C7" i="17"/>
  <c r="E7" i="17" s="1"/>
  <c r="C6" i="17"/>
  <c r="E6" i="17" s="1"/>
  <c r="C5" i="17"/>
  <c r="E5" i="17" s="1"/>
  <c r="C4" i="17"/>
  <c r="E4" i="17" s="1"/>
  <c r="C3" i="17"/>
  <c r="E3" i="17" s="1"/>
  <c r="G45" i="14"/>
  <c r="G27" i="14"/>
  <c r="G8" i="14"/>
  <c r="G14" i="14"/>
  <c r="G13" i="14"/>
  <c r="F75" i="8"/>
  <c r="F74" i="8"/>
  <c r="F75" i="9"/>
  <c r="F74" i="9"/>
  <c r="F75" i="15"/>
  <c r="F74" i="15"/>
  <c r="F75" i="4"/>
  <c r="F74" i="4"/>
  <c r="C4" i="8"/>
  <c r="E4" i="8" s="1"/>
  <c r="C5" i="8"/>
  <c r="E5" i="8" s="1"/>
  <c r="C6" i="8"/>
  <c r="E6" i="8" s="1"/>
  <c r="C7" i="8"/>
  <c r="E7" i="8" s="1"/>
  <c r="C8" i="8"/>
  <c r="E8" i="8" s="1"/>
  <c r="C9" i="8"/>
  <c r="E9" i="8" s="1"/>
  <c r="C10" i="8"/>
  <c r="E10" i="8" s="1"/>
  <c r="C11" i="8"/>
  <c r="E11" i="8" s="1"/>
  <c r="C12" i="8"/>
  <c r="E12" i="8" s="1"/>
  <c r="C13" i="8"/>
  <c r="E13" i="8" s="1"/>
  <c r="C14" i="8"/>
  <c r="E14" i="8" s="1"/>
  <c r="C4" i="9"/>
  <c r="E4" i="9" s="1"/>
  <c r="C5" i="9"/>
  <c r="E5" i="9" s="1"/>
  <c r="C6" i="9"/>
  <c r="E6" i="9" s="1"/>
  <c r="C7" i="9"/>
  <c r="E7" i="9" s="1"/>
  <c r="C8" i="9"/>
  <c r="E8" i="9" s="1"/>
  <c r="C9" i="9"/>
  <c r="E9" i="9" s="1"/>
  <c r="C10" i="9"/>
  <c r="E10" i="9" s="1"/>
  <c r="C11" i="9"/>
  <c r="E11" i="9" s="1"/>
  <c r="C12" i="9"/>
  <c r="E12" i="9" s="1"/>
  <c r="C13" i="9"/>
  <c r="E13" i="9" s="1"/>
  <c r="C14" i="9"/>
  <c r="E14" i="9" s="1"/>
  <c r="C4" i="15"/>
  <c r="E4" i="15" s="1"/>
  <c r="C5" i="15"/>
  <c r="E5" i="15" s="1"/>
  <c r="C6" i="15"/>
  <c r="E6" i="15" s="1"/>
  <c r="C7" i="15"/>
  <c r="E7" i="15" s="1"/>
  <c r="C8" i="15"/>
  <c r="E8" i="15" s="1"/>
  <c r="C9" i="15"/>
  <c r="E9" i="15" s="1"/>
  <c r="C10" i="15"/>
  <c r="E10" i="15" s="1"/>
  <c r="C11" i="15"/>
  <c r="E11" i="15" s="1"/>
  <c r="C12" i="15"/>
  <c r="E12" i="15" s="1"/>
  <c r="C13" i="15"/>
  <c r="E13" i="15" s="1"/>
  <c r="C14" i="15"/>
  <c r="E14" i="15" s="1"/>
  <c r="C4" i="16"/>
  <c r="E4" i="16" s="1"/>
  <c r="C5" i="16"/>
  <c r="E5" i="16" s="1"/>
  <c r="C6" i="16"/>
  <c r="E6" i="16" s="1"/>
  <c r="C7" i="16"/>
  <c r="E7" i="16" s="1"/>
  <c r="C8" i="16"/>
  <c r="E8" i="16" s="1"/>
  <c r="C9" i="16"/>
  <c r="E9" i="16" s="1"/>
  <c r="C10" i="16"/>
  <c r="E10" i="16" s="1"/>
  <c r="C11" i="16"/>
  <c r="E11" i="16" s="1"/>
  <c r="C12" i="16"/>
  <c r="E12" i="16" s="1"/>
  <c r="C13" i="16"/>
  <c r="E13" i="16" s="1"/>
  <c r="C14" i="16"/>
  <c r="E14" i="16" s="1"/>
  <c r="C4" i="4"/>
  <c r="E4" i="4" s="1"/>
  <c r="C5" i="4"/>
  <c r="E5" i="4" s="1"/>
  <c r="C6" i="4"/>
  <c r="E6" i="4" s="1"/>
  <c r="C7" i="4"/>
  <c r="E7" i="4" s="1"/>
  <c r="C8" i="4"/>
  <c r="E8" i="4" s="1"/>
  <c r="C9" i="4"/>
  <c r="E9" i="4" s="1"/>
  <c r="C10" i="4"/>
  <c r="E10" i="4" s="1"/>
  <c r="C11" i="4"/>
  <c r="E11" i="4" s="1"/>
  <c r="C12" i="4"/>
  <c r="E12" i="4" s="1"/>
  <c r="C13" i="4"/>
  <c r="E13" i="4" s="1"/>
  <c r="C14" i="4"/>
  <c r="E14" i="4" s="1"/>
  <c r="C3" i="8"/>
  <c r="C3" i="9"/>
  <c r="C3" i="15"/>
  <c r="E3" i="15" s="1"/>
  <c r="C3" i="16"/>
  <c r="E3" i="16" s="1"/>
  <c r="C3" i="4"/>
  <c r="C6" i="3"/>
  <c r="D6" i="3" s="1"/>
  <c r="C7" i="3"/>
  <c r="D7" i="3" s="1"/>
  <c r="C8" i="3"/>
  <c r="D8" i="3" s="1"/>
  <c r="C9" i="3"/>
  <c r="D9" i="3" s="1"/>
  <c r="C10" i="3"/>
  <c r="D10" i="3" s="1"/>
  <c r="C11" i="3"/>
  <c r="D11" i="3" s="1"/>
  <c r="C12" i="3"/>
  <c r="D12" i="3" s="1"/>
  <c r="C13" i="3"/>
  <c r="D13" i="3" s="1"/>
  <c r="C14" i="3"/>
  <c r="D14" i="3" s="1"/>
  <c r="C15" i="3"/>
  <c r="D15" i="3" s="1"/>
  <c r="C16" i="3"/>
  <c r="D16" i="3" s="1"/>
  <c r="C17" i="3"/>
  <c r="D17" i="3"/>
  <c r="C18" i="3"/>
  <c r="D18" i="3" s="1"/>
  <c r="C19" i="3"/>
  <c r="D19" i="3" s="1"/>
  <c r="C20" i="3"/>
  <c r="D20" i="3"/>
  <c r="C21" i="3"/>
  <c r="D21" i="3" s="1"/>
  <c r="C22" i="3"/>
  <c r="D22" i="3" s="1"/>
  <c r="C23" i="3"/>
  <c r="D23" i="3" s="1"/>
  <c r="C24" i="3"/>
  <c r="D24" i="3" s="1"/>
  <c r="C25" i="3"/>
  <c r="D25" i="3"/>
  <c r="C26" i="3"/>
  <c r="D26" i="3" s="1"/>
  <c r="C27" i="3"/>
  <c r="D27" i="3" s="1"/>
  <c r="C28" i="3"/>
  <c r="D28" i="3"/>
  <c r="C29" i="3"/>
  <c r="D29" i="3" s="1"/>
  <c r="C30" i="3"/>
  <c r="D30" i="3" s="1"/>
  <c r="C31" i="3"/>
  <c r="D31" i="3" s="1"/>
  <c r="C32" i="3"/>
  <c r="D32" i="3" s="1"/>
  <c r="C33" i="3"/>
  <c r="D33" i="3"/>
  <c r="C34" i="3"/>
  <c r="D34" i="3" s="1"/>
  <c r="C35" i="3"/>
  <c r="D35" i="3" s="1"/>
  <c r="C36" i="3"/>
  <c r="G36" i="3" s="1"/>
  <c r="D36" i="3"/>
  <c r="C37" i="3"/>
  <c r="D37" i="3" s="1"/>
  <c r="H37" i="3" s="1"/>
  <c r="C38" i="3"/>
  <c r="D38" i="3" s="1"/>
  <c r="H38" i="3" s="1"/>
  <c r="C39" i="3"/>
  <c r="D39" i="3" s="1"/>
  <c r="H39" i="3" s="1"/>
  <c r="C40" i="3"/>
  <c r="D40" i="3" s="1"/>
  <c r="H40" i="3" s="1"/>
  <c r="C41" i="3"/>
  <c r="G41" i="3" s="1"/>
  <c r="D41" i="3"/>
  <c r="H41" i="3" s="1"/>
  <c r="C42" i="3"/>
  <c r="D42" i="3" s="1"/>
  <c r="H42" i="3" s="1"/>
  <c r="C43" i="3"/>
  <c r="D43" i="3" s="1"/>
  <c r="H43" i="3" s="1"/>
  <c r="C44" i="3"/>
  <c r="D44" i="3"/>
  <c r="H44" i="3" s="1"/>
  <c r="C5" i="3"/>
  <c r="D5" i="3" s="1"/>
  <c r="F5" i="3"/>
  <c r="G12" i="14"/>
  <c r="F49" i="15"/>
  <c r="F48" i="15"/>
  <c r="F23" i="15"/>
  <c r="F22" i="15"/>
  <c r="H36" i="3"/>
  <c r="G39" i="3"/>
  <c r="G42" i="3"/>
  <c r="G43" i="3"/>
  <c r="G44" i="3"/>
  <c r="F36" i="3"/>
  <c r="F37" i="3"/>
  <c r="F38" i="3"/>
  <c r="F39" i="3"/>
  <c r="F40" i="3"/>
  <c r="F41" i="3"/>
  <c r="F42" i="3"/>
  <c r="F43" i="3"/>
  <c r="F44" i="3"/>
  <c r="G38" i="3" l="1"/>
  <c r="G37" i="3"/>
  <c r="E15" i="17"/>
  <c r="E18" i="17" s="1"/>
  <c r="E15" i="20"/>
  <c r="E18" i="20" s="1"/>
  <c r="E15" i="18"/>
  <c r="E18" i="18" s="1"/>
  <c r="E15" i="19"/>
  <c r="E18" i="19" s="1"/>
  <c r="G47" i="14"/>
  <c r="G46" i="14"/>
  <c r="G40" i="3"/>
  <c r="F76" i="4"/>
  <c r="F76" i="8"/>
  <c r="F76" i="15"/>
  <c r="F76" i="9"/>
  <c r="E15" i="16"/>
  <c r="E15" i="15"/>
  <c r="F24" i="15"/>
  <c r="F50" i="15"/>
  <c r="F49" i="9"/>
  <c r="F48" i="9"/>
  <c r="F49" i="8"/>
  <c r="F48" i="8"/>
  <c r="F49" i="4"/>
  <c r="F48" i="4"/>
  <c r="F23" i="9"/>
  <c r="F22" i="9"/>
  <c r="F23" i="8"/>
  <c r="F22" i="8"/>
  <c r="F22" i="4"/>
  <c r="G9" i="14" s="1"/>
  <c r="F23" i="4"/>
  <c r="G10" i="14" s="1"/>
  <c r="F6" i="3"/>
  <c r="G6" i="3"/>
  <c r="H6" i="3"/>
  <c r="F7" i="3"/>
  <c r="G7" i="3"/>
  <c r="H7" i="3"/>
  <c r="F8" i="3"/>
  <c r="G8" i="3"/>
  <c r="H8" i="3"/>
  <c r="F9" i="3"/>
  <c r="G9" i="3"/>
  <c r="H9" i="3"/>
  <c r="F10" i="3"/>
  <c r="G10" i="3"/>
  <c r="H10" i="3"/>
  <c r="F11" i="3"/>
  <c r="G11" i="3"/>
  <c r="H11" i="3"/>
  <c r="F12" i="3"/>
  <c r="G12" i="3"/>
  <c r="H12" i="3"/>
  <c r="F13" i="3"/>
  <c r="G13" i="3"/>
  <c r="H13" i="3"/>
  <c r="F14" i="3"/>
  <c r="G14" i="3"/>
  <c r="H14" i="3"/>
  <c r="F15" i="3"/>
  <c r="G15" i="3"/>
  <c r="H15" i="3"/>
  <c r="F16" i="3"/>
  <c r="G16" i="3"/>
  <c r="H16" i="3"/>
  <c r="F17" i="3"/>
  <c r="G17" i="3"/>
  <c r="H17" i="3"/>
  <c r="F18" i="3"/>
  <c r="G18" i="3"/>
  <c r="H18" i="3"/>
  <c r="F19" i="3"/>
  <c r="G19" i="3"/>
  <c r="H19" i="3"/>
  <c r="F20" i="3"/>
  <c r="G20" i="3"/>
  <c r="H20" i="3"/>
  <c r="F21" i="3"/>
  <c r="G21" i="3"/>
  <c r="H21" i="3"/>
  <c r="F22" i="3"/>
  <c r="G22" i="3"/>
  <c r="H22" i="3"/>
  <c r="F23" i="3"/>
  <c r="G23" i="3"/>
  <c r="H23" i="3"/>
  <c r="F24" i="3"/>
  <c r="G24" i="3"/>
  <c r="H24" i="3"/>
  <c r="F25" i="3"/>
  <c r="G25" i="3"/>
  <c r="H25" i="3"/>
  <c r="F26" i="3"/>
  <c r="G26" i="3"/>
  <c r="H26" i="3"/>
  <c r="F27" i="3"/>
  <c r="G27" i="3"/>
  <c r="H27" i="3"/>
  <c r="F28" i="3"/>
  <c r="G28" i="3"/>
  <c r="H28" i="3"/>
  <c r="F29" i="3"/>
  <c r="G29" i="3"/>
  <c r="H29" i="3"/>
  <c r="F30" i="3"/>
  <c r="G30" i="3"/>
  <c r="H30" i="3"/>
  <c r="F31" i="3"/>
  <c r="G31" i="3"/>
  <c r="H31" i="3"/>
  <c r="F32" i="3"/>
  <c r="G32" i="3"/>
  <c r="H32" i="3"/>
  <c r="F33" i="3"/>
  <c r="G33" i="3"/>
  <c r="H33" i="3"/>
  <c r="F34" i="3"/>
  <c r="G34" i="3"/>
  <c r="H34" i="3"/>
  <c r="F35" i="3"/>
  <c r="G35" i="3"/>
  <c r="H35" i="3"/>
  <c r="G5" i="3"/>
  <c r="H5" i="3"/>
  <c r="C66" i="20" l="1"/>
  <c r="E66" i="20" s="1"/>
  <c r="C58" i="20"/>
  <c r="E58" i="20" s="1"/>
  <c r="C60" i="19"/>
  <c r="E60" i="19" s="1"/>
  <c r="C62" i="18"/>
  <c r="E62" i="18" s="1"/>
  <c r="C64" i="17"/>
  <c r="E64" i="17" s="1"/>
  <c r="C56" i="17"/>
  <c r="E56" i="17" s="1"/>
  <c r="C63" i="17"/>
  <c r="E63" i="17" s="1"/>
  <c r="C55" i="17"/>
  <c r="E55" i="17" s="1"/>
  <c r="C58" i="19"/>
  <c r="E58" i="19" s="1"/>
  <c r="C60" i="18"/>
  <c r="E60" i="18" s="1"/>
  <c r="C55" i="19"/>
  <c r="E55" i="19" s="1"/>
  <c r="C65" i="20"/>
  <c r="E65" i="20" s="1"/>
  <c r="C57" i="20"/>
  <c r="E57" i="20" s="1"/>
  <c r="C59" i="19"/>
  <c r="E59" i="19" s="1"/>
  <c r="C61" i="18"/>
  <c r="E61" i="18" s="1"/>
  <c r="C66" i="17"/>
  <c r="E66" i="17" s="1"/>
  <c r="C58" i="17"/>
  <c r="E58" i="17" s="1"/>
  <c r="C64" i="20"/>
  <c r="E64" i="20" s="1"/>
  <c r="C56" i="20"/>
  <c r="E56" i="20" s="1"/>
  <c r="C66" i="19"/>
  <c r="E66" i="19" s="1"/>
  <c r="C62" i="17"/>
  <c r="E62" i="17" s="1"/>
  <c r="C59" i="17"/>
  <c r="E59" i="17" s="1"/>
  <c r="C63" i="20"/>
  <c r="E63" i="20" s="1"/>
  <c r="C55" i="20"/>
  <c r="E55" i="20" s="1"/>
  <c r="C65" i="19"/>
  <c r="E65" i="19" s="1"/>
  <c r="C57" i="19"/>
  <c r="E57" i="19" s="1"/>
  <c r="C59" i="18"/>
  <c r="E59" i="18" s="1"/>
  <c r="C61" i="17"/>
  <c r="E61" i="17" s="1"/>
  <c r="C62" i="20"/>
  <c r="E62" i="20" s="1"/>
  <c r="C64" i="19"/>
  <c r="E64" i="19" s="1"/>
  <c r="C56" i="19"/>
  <c r="E56" i="19" s="1"/>
  <c r="C66" i="18"/>
  <c r="E66" i="18" s="1"/>
  <c r="C58" i="18"/>
  <c r="E58" i="18" s="1"/>
  <c r="C60" i="17"/>
  <c r="E60" i="17" s="1"/>
  <c r="C57" i="18"/>
  <c r="E57" i="18" s="1"/>
  <c r="C61" i="20"/>
  <c r="E61" i="20" s="1"/>
  <c r="C63" i="19"/>
  <c r="E63" i="19" s="1"/>
  <c r="C65" i="18"/>
  <c r="E65" i="18" s="1"/>
  <c r="C60" i="20"/>
  <c r="E60" i="20" s="1"/>
  <c r="C62" i="19"/>
  <c r="E62" i="19" s="1"/>
  <c r="C64" i="18"/>
  <c r="E64" i="18" s="1"/>
  <c r="C56" i="18"/>
  <c r="E56" i="18" s="1"/>
  <c r="C57" i="17"/>
  <c r="E57" i="17" s="1"/>
  <c r="C59" i="20"/>
  <c r="E59" i="20" s="1"/>
  <c r="C61" i="19"/>
  <c r="E61" i="19" s="1"/>
  <c r="C63" i="18"/>
  <c r="E63" i="18" s="1"/>
  <c r="C55" i="18"/>
  <c r="E55" i="18" s="1"/>
  <c r="C65" i="17"/>
  <c r="E65" i="17" s="1"/>
  <c r="C38" i="20"/>
  <c r="E38" i="20" s="1"/>
  <c r="C30" i="20"/>
  <c r="E30" i="20" s="1"/>
  <c r="C40" i="19"/>
  <c r="E40" i="19" s="1"/>
  <c r="C32" i="19"/>
  <c r="E32" i="19" s="1"/>
  <c r="C34" i="18"/>
  <c r="E34" i="18" s="1"/>
  <c r="C36" i="17"/>
  <c r="E36" i="17" s="1"/>
  <c r="C35" i="17"/>
  <c r="E35" i="17" s="1"/>
  <c r="C32" i="18"/>
  <c r="E32" i="18" s="1"/>
  <c r="C34" i="17"/>
  <c r="E34" i="17" s="1"/>
  <c r="C39" i="17"/>
  <c r="E39" i="17" s="1"/>
  <c r="C37" i="20"/>
  <c r="E37" i="20" s="1"/>
  <c r="C29" i="20"/>
  <c r="E29" i="20" s="1"/>
  <c r="C39" i="19"/>
  <c r="E39" i="19" s="1"/>
  <c r="C31" i="19"/>
  <c r="E31" i="19" s="1"/>
  <c r="C33" i="18"/>
  <c r="E33" i="18" s="1"/>
  <c r="C36" i="20"/>
  <c r="E36" i="20" s="1"/>
  <c r="C38" i="19"/>
  <c r="E38" i="19" s="1"/>
  <c r="C30" i="19"/>
  <c r="E30" i="19" s="1"/>
  <c r="C40" i="18"/>
  <c r="E40" i="18" s="1"/>
  <c r="C35" i="19"/>
  <c r="E35" i="19" s="1"/>
  <c r="C37" i="18"/>
  <c r="E37" i="18" s="1"/>
  <c r="C29" i="18"/>
  <c r="E29" i="18" s="1"/>
  <c r="C29" i="17"/>
  <c r="E29" i="17" s="1"/>
  <c r="C35" i="20"/>
  <c r="E35" i="20" s="1"/>
  <c r="C37" i="19"/>
  <c r="E37" i="19" s="1"/>
  <c r="C29" i="19"/>
  <c r="E29" i="19" s="1"/>
  <c r="C39" i="18"/>
  <c r="E39" i="18" s="1"/>
  <c r="C31" i="18"/>
  <c r="E31" i="18" s="1"/>
  <c r="C33" i="17"/>
  <c r="E33" i="17" s="1"/>
  <c r="C37" i="17"/>
  <c r="E37" i="17" s="1"/>
  <c r="C34" i="20"/>
  <c r="E34" i="20" s="1"/>
  <c r="C36" i="19"/>
  <c r="E36" i="19" s="1"/>
  <c r="C38" i="18"/>
  <c r="E38" i="18" s="1"/>
  <c r="C30" i="18"/>
  <c r="E30" i="18" s="1"/>
  <c r="C40" i="17"/>
  <c r="E40" i="17" s="1"/>
  <c r="C32" i="17"/>
  <c r="E32" i="17" s="1"/>
  <c r="C36" i="18"/>
  <c r="E36" i="18" s="1"/>
  <c r="C38" i="17"/>
  <c r="E38" i="17" s="1"/>
  <c r="C30" i="17"/>
  <c r="E30" i="17" s="1"/>
  <c r="C32" i="15"/>
  <c r="E32" i="15" s="1"/>
  <c r="C33" i="20"/>
  <c r="E33" i="20" s="1"/>
  <c r="C31" i="17"/>
  <c r="E31" i="17" s="1"/>
  <c r="C40" i="20"/>
  <c r="E40" i="20" s="1"/>
  <c r="C32" i="20"/>
  <c r="E32" i="20" s="1"/>
  <c r="C34" i="19"/>
  <c r="E34" i="19" s="1"/>
  <c r="C39" i="20"/>
  <c r="E39" i="20" s="1"/>
  <c r="C31" i="20"/>
  <c r="E31" i="20" s="1"/>
  <c r="C33" i="19"/>
  <c r="E33" i="19" s="1"/>
  <c r="C35" i="18"/>
  <c r="E35" i="18" s="1"/>
  <c r="G29" i="14"/>
  <c r="F50" i="8"/>
  <c r="G28" i="14"/>
  <c r="E18" i="15"/>
  <c r="G7" i="14" s="1"/>
  <c r="G15" i="14"/>
  <c r="G11" i="14" s="1"/>
  <c r="C57" i="8"/>
  <c r="E57" i="8" s="1"/>
  <c r="C65" i="8"/>
  <c r="E65" i="8" s="1"/>
  <c r="C62" i="9"/>
  <c r="E62" i="9" s="1"/>
  <c r="C59" i="4"/>
  <c r="E59" i="4" s="1"/>
  <c r="C55" i="8"/>
  <c r="E55" i="8" s="1"/>
  <c r="C58" i="8"/>
  <c r="E58" i="8" s="1"/>
  <c r="C66" i="8"/>
  <c r="E66" i="8" s="1"/>
  <c r="C63" i="9"/>
  <c r="E63" i="9" s="1"/>
  <c r="C60" i="4"/>
  <c r="E60" i="4" s="1"/>
  <c r="C55" i="9"/>
  <c r="E55" i="9" s="1"/>
  <c r="C56" i="8"/>
  <c r="E56" i="8" s="1"/>
  <c r="C59" i="8"/>
  <c r="E59" i="8" s="1"/>
  <c r="C56" i="9"/>
  <c r="E56" i="9" s="1"/>
  <c r="C64" i="9"/>
  <c r="E64" i="9" s="1"/>
  <c r="C61" i="4"/>
  <c r="E61" i="4" s="1"/>
  <c r="C55" i="4"/>
  <c r="E55" i="4" s="1"/>
  <c r="C61" i="9"/>
  <c r="E61" i="9" s="1"/>
  <c r="C60" i="8"/>
  <c r="E60" i="8" s="1"/>
  <c r="C57" i="9"/>
  <c r="E57" i="9" s="1"/>
  <c r="C65" i="9"/>
  <c r="E65" i="9" s="1"/>
  <c r="C62" i="4"/>
  <c r="E62" i="4" s="1"/>
  <c r="C64" i="8"/>
  <c r="E64" i="8" s="1"/>
  <c r="C61" i="8"/>
  <c r="E61" i="8" s="1"/>
  <c r="C58" i="9"/>
  <c r="E58" i="9" s="1"/>
  <c r="C66" i="9"/>
  <c r="E66" i="9" s="1"/>
  <c r="C63" i="4"/>
  <c r="E63" i="4" s="1"/>
  <c r="C58" i="4"/>
  <c r="E58" i="4" s="1"/>
  <c r="C62" i="8"/>
  <c r="E62" i="8" s="1"/>
  <c r="C59" i="9"/>
  <c r="E59" i="9" s="1"/>
  <c r="C56" i="4"/>
  <c r="E56" i="4" s="1"/>
  <c r="C64" i="4"/>
  <c r="E64" i="4" s="1"/>
  <c r="C66" i="4"/>
  <c r="E66" i="4" s="1"/>
  <c r="C63" i="8"/>
  <c r="E63" i="8" s="1"/>
  <c r="C60" i="9"/>
  <c r="E60" i="9" s="1"/>
  <c r="C57" i="4"/>
  <c r="E57" i="4" s="1"/>
  <c r="C65" i="4"/>
  <c r="E65" i="4" s="1"/>
  <c r="C45" i="16"/>
  <c r="E45" i="16" s="1"/>
  <c r="C37" i="16"/>
  <c r="E37" i="16" s="1"/>
  <c r="C25" i="16"/>
  <c r="E25" i="16" s="1"/>
  <c r="C65" i="15"/>
  <c r="E65" i="15" s="1"/>
  <c r="C56" i="15"/>
  <c r="E56" i="15" s="1"/>
  <c r="C35" i="15"/>
  <c r="E35" i="15" s="1"/>
  <c r="C33" i="8"/>
  <c r="E33" i="8" s="1"/>
  <c r="C30" i="9"/>
  <c r="E30" i="9" s="1"/>
  <c r="C38" i="9"/>
  <c r="E38" i="9" s="1"/>
  <c r="C35" i="4"/>
  <c r="E35" i="4" s="1"/>
  <c r="C29" i="4"/>
  <c r="E29" i="4" s="1"/>
  <c r="C46" i="16"/>
  <c r="E46" i="16" s="1"/>
  <c r="C34" i="4"/>
  <c r="E34" i="4" s="1"/>
  <c r="C44" i="16"/>
  <c r="E44" i="16" s="1"/>
  <c r="C36" i="16"/>
  <c r="E36" i="16" s="1"/>
  <c r="C24" i="16"/>
  <c r="E24" i="16" s="1"/>
  <c r="C64" i="15"/>
  <c r="E64" i="15" s="1"/>
  <c r="C55" i="15"/>
  <c r="E55" i="15" s="1"/>
  <c r="C34" i="15"/>
  <c r="E34" i="15" s="1"/>
  <c r="C34" i="8"/>
  <c r="E34" i="8" s="1"/>
  <c r="C31" i="9"/>
  <c r="E31" i="9" s="1"/>
  <c r="C39" i="9"/>
  <c r="E39" i="9" s="1"/>
  <c r="C36" i="4"/>
  <c r="E36" i="4" s="1"/>
  <c r="C32" i="8"/>
  <c r="E32" i="8" s="1"/>
  <c r="C43" i="16"/>
  <c r="E43" i="16" s="1"/>
  <c r="C35" i="16"/>
  <c r="E35" i="16" s="1"/>
  <c r="C23" i="16"/>
  <c r="E23" i="16" s="1"/>
  <c r="C63" i="15"/>
  <c r="E63" i="15" s="1"/>
  <c r="C54" i="15"/>
  <c r="E54" i="15" s="1"/>
  <c r="C33" i="15"/>
  <c r="E33" i="15" s="1"/>
  <c r="C35" i="8"/>
  <c r="E35" i="8" s="1"/>
  <c r="C32" i="9"/>
  <c r="E32" i="9" s="1"/>
  <c r="C40" i="9"/>
  <c r="E40" i="9" s="1"/>
  <c r="C37" i="4"/>
  <c r="E37" i="4" s="1"/>
  <c r="C57" i="15"/>
  <c r="E57" i="15" s="1"/>
  <c r="C40" i="8"/>
  <c r="E40" i="8" s="1"/>
  <c r="C42" i="16"/>
  <c r="E42" i="16" s="1"/>
  <c r="C30" i="16"/>
  <c r="E30" i="16" s="1"/>
  <c r="C22" i="16"/>
  <c r="E22" i="16" s="1"/>
  <c r="C61" i="15"/>
  <c r="E61" i="15" s="1"/>
  <c r="C40" i="15"/>
  <c r="E40" i="15" s="1"/>
  <c r="C31" i="15"/>
  <c r="E31" i="15" s="1"/>
  <c r="C36" i="8"/>
  <c r="E36" i="8" s="1"/>
  <c r="C33" i="9"/>
  <c r="E33" i="9" s="1"/>
  <c r="C30" i="4"/>
  <c r="E30" i="4" s="1"/>
  <c r="C38" i="4"/>
  <c r="E38" i="4" s="1"/>
  <c r="C36" i="9"/>
  <c r="E36" i="9" s="1"/>
  <c r="C66" i="15"/>
  <c r="E66" i="15" s="1"/>
  <c r="C37" i="9"/>
  <c r="E37" i="9" s="1"/>
  <c r="C62" i="15"/>
  <c r="E62" i="15" s="1"/>
  <c r="C41" i="16"/>
  <c r="E41" i="16" s="1"/>
  <c r="C29" i="16"/>
  <c r="E29" i="16" s="1"/>
  <c r="C21" i="16"/>
  <c r="E21" i="16" s="1"/>
  <c r="C60" i="15"/>
  <c r="E60" i="15" s="1"/>
  <c r="C39" i="15"/>
  <c r="E39" i="15" s="1"/>
  <c r="C30" i="15"/>
  <c r="E30" i="15" s="1"/>
  <c r="C37" i="8"/>
  <c r="E37" i="8" s="1"/>
  <c r="C34" i="9"/>
  <c r="E34" i="9" s="1"/>
  <c r="C31" i="4"/>
  <c r="E31" i="4" s="1"/>
  <c r="C39" i="4"/>
  <c r="E39" i="4" s="1"/>
  <c r="C31" i="8"/>
  <c r="E31" i="8" s="1"/>
  <c r="C29" i="8"/>
  <c r="E29" i="8" s="1"/>
  <c r="C38" i="16"/>
  <c r="E38" i="16" s="1"/>
  <c r="C36" i="15"/>
  <c r="E36" i="15" s="1"/>
  <c r="C29" i="9"/>
  <c r="E29" i="9" s="1"/>
  <c r="C40" i="16"/>
  <c r="E40" i="16" s="1"/>
  <c r="C28" i="16"/>
  <c r="E28" i="16" s="1"/>
  <c r="C20" i="16"/>
  <c r="E20" i="16" s="1"/>
  <c r="C59" i="15"/>
  <c r="E59" i="15" s="1"/>
  <c r="C38" i="15"/>
  <c r="E38" i="15" s="1"/>
  <c r="C29" i="15"/>
  <c r="E29" i="15" s="1"/>
  <c r="C30" i="8"/>
  <c r="E30" i="8" s="1"/>
  <c r="C38" i="8"/>
  <c r="E38" i="8" s="1"/>
  <c r="C35" i="9"/>
  <c r="E35" i="9" s="1"/>
  <c r="C32" i="4"/>
  <c r="E32" i="4" s="1"/>
  <c r="C40" i="4"/>
  <c r="E40" i="4" s="1"/>
  <c r="C39" i="8"/>
  <c r="E39" i="8" s="1"/>
  <c r="C33" i="4"/>
  <c r="E33" i="4" s="1"/>
  <c r="C26" i="16"/>
  <c r="E26" i="16" s="1"/>
  <c r="C39" i="16"/>
  <c r="E39" i="16" s="1"/>
  <c r="C27" i="16"/>
  <c r="E27" i="16" s="1"/>
  <c r="C19" i="16"/>
  <c r="E19" i="16" s="1"/>
  <c r="C58" i="15"/>
  <c r="E58" i="15" s="1"/>
  <c r="C37" i="15"/>
  <c r="E37" i="15" s="1"/>
  <c r="C28" i="15"/>
  <c r="E28" i="15" s="1"/>
  <c r="F50" i="4"/>
  <c r="F24" i="8"/>
  <c r="F50" i="9"/>
  <c r="F24" i="9"/>
  <c r="F24" i="4"/>
  <c r="E67" i="20" l="1"/>
  <c r="E70" i="20" s="1"/>
  <c r="E67" i="17"/>
  <c r="E70" i="17" s="1"/>
  <c r="E41" i="17"/>
  <c r="E44" i="17" s="1"/>
  <c r="E67" i="18"/>
  <c r="E70" i="18" s="1"/>
  <c r="E41" i="18"/>
  <c r="E44" i="18" s="1"/>
  <c r="E41" i="20"/>
  <c r="E44" i="20" s="1"/>
  <c r="E67" i="19"/>
  <c r="E70" i="19" s="1"/>
  <c r="E41" i="19"/>
  <c r="E44" i="19" s="1"/>
  <c r="E41" i="4"/>
  <c r="E44" i="4" s="1"/>
  <c r="G23" i="14" s="1"/>
  <c r="E31" i="16"/>
  <c r="G31" i="14"/>
  <c r="E41" i="9"/>
  <c r="E41" i="8"/>
  <c r="E67" i="9"/>
  <c r="E67" i="4"/>
  <c r="E41" i="15"/>
  <c r="E67" i="8"/>
  <c r="E47" i="16"/>
  <c r="E67" i="15"/>
  <c r="E3" i="8"/>
  <c r="E15" i="8" s="1"/>
  <c r="E18" i="8" s="1"/>
  <c r="G5" i="14" s="1"/>
  <c r="E3" i="9"/>
  <c r="E15" i="9" s="1"/>
  <c r="E18" i="9" s="1"/>
  <c r="G6" i="14" s="1"/>
  <c r="E3" i="4"/>
  <c r="E15" i="4" s="1"/>
  <c r="E18" i="4" s="1"/>
  <c r="G4" i="14" s="1"/>
  <c r="G30" i="14" l="1"/>
  <c r="G16" i="14"/>
  <c r="C59" i="14" s="1"/>
  <c r="E70" i="9"/>
  <c r="G43" i="14" s="1"/>
  <c r="G51" i="14"/>
  <c r="E70" i="8"/>
  <c r="G42" i="14" s="1"/>
  <c r="G50" i="14"/>
  <c r="E44" i="8"/>
  <c r="G24" i="14" s="1"/>
  <c r="G32" i="14"/>
  <c r="E44" i="15"/>
  <c r="G26" i="14" s="1"/>
  <c r="G34" i="14"/>
  <c r="E44" i="9"/>
  <c r="G25" i="14" s="1"/>
  <c r="G33" i="14"/>
  <c r="E70" i="4"/>
  <c r="G41" i="14" s="1"/>
  <c r="G49" i="14"/>
  <c r="E70" i="15"/>
  <c r="G44" i="14" s="1"/>
  <c r="G52" i="14"/>
  <c r="G48" i="14" l="1"/>
  <c r="G53" i="14" s="1"/>
  <c r="C61" i="14" s="1"/>
  <c r="G35" i="14"/>
  <c r="C60" i="14" s="1"/>
  <c r="C62" i="14" l="1"/>
</calcChain>
</file>

<file path=xl/sharedStrings.xml><?xml version="1.0" encoding="utf-8"?>
<sst xmlns="http://schemas.openxmlformats.org/spreadsheetml/2006/main" count="779" uniqueCount="104">
  <si>
    <t>INSTRUCTIONS</t>
  </si>
  <si>
    <r>
      <t xml:space="preserve">On the </t>
    </r>
    <r>
      <rPr>
        <b/>
        <sz val="12"/>
        <color rgb="FF000000"/>
        <rFont val="Times New Roman"/>
      </rPr>
      <t xml:space="preserve">LCATs &amp; Rates </t>
    </r>
    <r>
      <rPr>
        <sz val="12"/>
        <color rgb="FF000000"/>
        <rFont val="Times New Roman"/>
      </rPr>
      <t xml:space="preserve">worksheet, the offeror is asked to provide labor categories (LCATs) and rates applicable to the current year of its GSA MAS. Please also provide an escalation rate for labor rates. Please modify the escalation rate as applicable and additional discounts to labor rates are strongly encouraged. </t>
    </r>
  </si>
  <si>
    <t>Escalation Rate:</t>
  </si>
  <si>
    <t>GSA MAS Rates</t>
  </si>
  <si>
    <t>Discounted Rates</t>
  </si>
  <si>
    <t>Labor Category (LCAT)</t>
  </si>
  <si>
    <t>Base Period</t>
  </si>
  <si>
    <t>Option Period 1</t>
  </si>
  <si>
    <t>Option Period 2</t>
  </si>
  <si>
    <t>Discount Offered,
if any</t>
  </si>
  <si>
    <t>BASE YEAR - 12 Months</t>
  </si>
  <si>
    <t>CLIN</t>
  </si>
  <si>
    <t>Description</t>
  </si>
  <si>
    <t>Quantity</t>
  </si>
  <si>
    <t>Unit</t>
  </si>
  <si>
    <t xml:space="preserve">Unit Price </t>
  </si>
  <si>
    <t>Extended Price</t>
  </si>
  <si>
    <t>Project Manager Team (FFPPS)</t>
  </si>
  <si>
    <t>Sprint</t>
  </si>
  <si>
    <t>Product Design Team (FFPPS)</t>
  </si>
  <si>
    <t>Engineering Team (FFP)</t>
  </si>
  <si>
    <t>DevOps Team (FFPPS)</t>
  </si>
  <si>
    <t>On Call Support Team (T&amp;M)</t>
  </si>
  <si>
    <t>Not-to-Exceed</t>
  </si>
  <si>
    <t>Travel</t>
  </si>
  <si>
    <t>Lot</t>
  </si>
  <si>
    <t>Other Direct Costs</t>
  </si>
  <si>
    <t>Optional Teams, as needed (NTE)</t>
  </si>
  <si>
    <t xml:space="preserve">        0005a</t>
  </si>
  <si>
    <t>Project Management Team (FFUP)</t>
  </si>
  <si>
    <t>0005b</t>
  </si>
  <si>
    <t>Product Design Team (FFUP)</t>
  </si>
  <si>
    <t>0005c</t>
  </si>
  <si>
    <t>Engineering Team (FFUP)</t>
  </si>
  <si>
    <t>0005d</t>
  </si>
  <si>
    <t>DevOps Team (FFUP)</t>
  </si>
  <si>
    <t>OPTION YEAR 1 - 12 Months</t>
  </si>
  <si>
    <t xml:space="preserve">        1005a</t>
  </si>
  <si>
    <t>1005b</t>
  </si>
  <si>
    <t>1005c</t>
  </si>
  <si>
    <t>1005d</t>
  </si>
  <si>
    <t>OPTION YEAR  2 - 12 Months</t>
  </si>
  <si>
    <t xml:space="preserve">        2005a</t>
  </si>
  <si>
    <t>2005b</t>
  </si>
  <si>
    <t>2005c</t>
  </si>
  <si>
    <t>2005d</t>
  </si>
  <si>
    <t>Labor - BASE PERIOD</t>
  </si>
  <si>
    <r>
      <t xml:space="preserve">Labor Category
</t>
    </r>
    <r>
      <rPr>
        <sz val="12"/>
        <color rgb="FF000000"/>
        <rFont val="Times New Roman"/>
        <family val="1"/>
      </rPr>
      <t>(Select from List)</t>
    </r>
  </si>
  <si>
    <r>
      <t xml:space="preserve">Crosswalked Role </t>
    </r>
    <r>
      <rPr>
        <sz val="12"/>
        <color rgb="FF000000"/>
        <rFont val="Times New Roman"/>
        <family val="1"/>
      </rPr>
      <t>(Manual entry, if applicable)</t>
    </r>
  </si>
  <si>
    <r>
      <t xml:space="preserve">Rate per Hour
</t>
    </r>
    <r>
      <rPr>
        <sz val="12"/>
        <color rgb="FF000000"/>
        <rFont val="Times New Roman"/>
        <family val="1"/>
      </rPr>
      <t>(Calculated)</t>
    </r>
  </si>
  <si>
    <r>
      <t xml:space="preserve">Hrs per Iteration
</t>
    </r>
    <r>
      <rPr>
        <sz val="12"/>
        <color rgb="FF000000"/>
        <rFont val="Times New Roman"/>
        <family val="1"/>
      </rPr>
      <t>(Manual Entry)</t>
    </r>
  </si>
  <si>
    <r>
      <t xml:space="preserve">Base Period 
Price per Iteration
</t>
    </r>
    <r>
      <rPr>
        <sz val="12"/>
        <color rgb="FF000000"/>
        <rFont val="Times New Roman"/>
        <family val="1"/>
      </rPr>
      <t>(Calculated)</t>
    </r>
  </si>
  <si>
    <t>Price per Team per Iteration</t>
  </si>
  <si>
    <t># of Teams Proposed</t>
  </si>
  <si>
    <t># of Sprints Proposed</t>
  </si>
  <si>
    <t>Base Period Subtotal</t>
  </si>
  <si>
    <t>Other Direct Costs (ODC) / Travel</t>
  </si>
  <si>
    <t>Item Description</t>
  </si>
  <si>
    <t>Item Category</t>
  </si>
  <si>
    <t>Qty</t>
  </si>
  <si>
    <t>Cost per Unit</t>
  </si>
  <si>
    <t>Extended Cost</t>
  </si>
  <si>
    <t>TBD</t>
  </si>
  <si>
    <t>ODC</t>
  </si>
  <si>
    <t>ODC/Travel Total</t>
  </si>
  <si>
    <t>Labor - OPTION PERIOD 1</t>
  </si>
  <si>
    <t>Option Period</t>
  </si>
  <si>
    <t>Option Period 1 Subtotal</t>
  </si>
  <si>
    <t>Labor - OPTION PERIOD 2</t>
  </si>
  <si>
    <t>Option Period 2 Subtotal</t>
  </si>
  <si>
    <r>
      <t xml:space="preserve">Option Period 1
Price per Iteration
</t>
    </r>
    <r>
      <rPr>
        <sz val="12"/>
        <color rgb="FF000000"/>
        <rFont val="Times New Roman"/>
        <family val="1"/>
      </rPr>
      <t>(Calculated)</t>
    </r>
  </si>
  <si>
    <r>
      <t xml:space="preserve">Option Period 2
Price per Iteration
</t>
    </r>
    <r>
      <rPr>
        <sz val="12"/>
        <color rgb="FF000000"/>
        <rFont val="Times New Roman"/>
        <family val="1"/>
      </rPr>
      <t>(Calculated)</t>
    </r>
  </si>
  <si>
    <r>
      <t xml:space="preserve">Hrs Not-to-Exceed
</t>
    </r>
    <r>
      <rPr>
        <sz val="12"/>
        <color rgb="FF000000"/>
        <rFont val="Times New Roman"/>
        <family val="1"/>
      </rPr>
      <t>(Manual Entry)</t>
    </r>
  </si>
  <si>
    <r>
      <t xml:space="preserve">Base Period 
Price Not-to-Exceed
</t>
    </r>
    <r>
      <rPr>
        <sz val="12"/>
        <color rgb="FF000000"/>
        <rFont val="Times New Roman"/>
        <family val="1"/>
      </rPr>
      <t>(Calculated)</t>
    </r>
  </si>
  <si>
    <t>Price Not-to-Exceed</t>
  </si>
  <si>
    <r>
      <t xml:space="preserve">Option Period 1
Price Not-to-Exceed
</t>
    </r>
    <r>
      <rPr>
        <sz val="12"/>
        <color rgb="FF000000"/>
        <rFont val="Times New Roman"/>
        <family val="1"/>
      </rPr>
      <t>(Calculated)</t>
    </r>
  </si>
  <si>
    <r>
      <t xml:space="preserve">Option Period 2
Price Not-to-Exceed
</t>
    </r>
    <r>
      <rPr>
        <sz val="12"/>
        <color rgb="FF000000"/>
        <rFont val="Times New Roman"/>
        <family val="1"/>
      </rPr>
      <t>(Calculated)</t>
    </r>
  </si>
  <si>
    <t># of Teams</t>
  </si>
  <si>
    <t># of Sprints</t>
  </si>
  <si>
    <t>Total</t>
  </si>
  <si>
    <t>-</t>
  </si>
  <si>
    <t>Base Year Total</t>
  </si>
  <si>
    <t>OY1 Total</t>
  </si>
  <si>
    <t>OY2 Total</t>
  </si>
  <si>
    <t>Year</t>
  </si>
  <si>
    <t>OY1</t>
  </si>
  <si>
    <t>OY2</t>
  </si>
  <si>
    <t>Price</t>
  </si>
  <si>
    <t>Base</t>
  </si>
  <si>
    <r>
      <t xml:space="preserve">On the </t>
    </r>
    <r>
      <rPr>
        <b/>
        <sz val="12"/>
        <color rgb="FF000000"/>
        <rFont val="Times New Roman"/>
        <family val="1"/>
      </rPr>
      <t>Project Manager,</t>
    </r>
    <r>
      <rPr>
        <sz val="12"/>
        <color rgb="FF000000"/>
        <rFont val="Times New Roman"/>
      </rPr>
      <t xml:space="preserve"> </t>
    </r>
    <r>
      <rPr>
        <b/>
        <sz val="12"/>
        <color rgb="FF000000"/>
        <rFont val="Times New Roman"/>
      </rPr>
      <t xml:space="preserve">Product Design, Engineering, DevOps, On-Call Support, and Optional Teams </t>
    </r>
    <r>
      <rPr>
        <sz val="12"/>
        <color rgb="FF000000"/>
        <rFont val="Times New Roman"/>
      </rPr>
      <t>worksheets, the offeror is asked to select the GSA MAS LCATs most relevant to roles found on a typical Agile team. Crosswalking LCATs to roles found on the Agile team(s) is allowed; please indicate the crosswalked role in the designated column. The Government will evaluate whether the selected LCAT meets its expectations for seniority and expertise for the role(s) indicated. Please provide estimated hrs. required from each LCAT/role for each Iteration to develop the Firm Fixed Price per Iteration for each Period of Performance. 
Anticipated Other Direct Costs (ODC), including travel needs, should also be documented. $50,000 for for Travel may be used for estimation purposes for this cost reimbursable CLINs. Sheets may be duplicated or combined for the offeror to propose the CLIN structure that offers the most effective blend of flexibility and predictably for successful contract performance.</t>
    </r>
  </si>
  <si>
    <r>
      <rPr>
        <b/>
        <sz val="12"/>
        <color rgb="FF000000"/>
        <rFont val="Times New Roman"/>
      </rPr>
      <t xml:space="preserve">CLIN 0001 is a firm-fixed price CLIN that is grouped by Sprint Teams. </t>
    </r>
    <r>
      <rPr>
        <sz val="12"/>
        <color rgb="FF000000"/>
        <rFont val="Times New Roman"/>
      </rPr>
      <t>These</t>
    </r>
    <r>
      <rPr>
        <b/>
        <sz val="12"/>
        <color rgb="FF000000"/>
        <rFont val="Times New Roman"/>
      </rPr>
      <t xml:space="preserve"> </t>
    </r>
    <r>
      <rPr>
        <sz val="12"/>
        <color rgb="FF000000"/>
        <rFont val="Times New Roman"/>
      </rPr>
      <t xml:space="preserve">CLINs will be firm fixed price based on the Contractor's proposed number of Iterations (or "Sprints") required of various Teams to support the period of performance. 
</t>
    </r>
    <r>
      <rPr>
        <b/>
        <sz val="12"/>
        <color rgb="FF000000"/>
        <rFont val="Times New Roman"/>
      </rPr>
      <t>CLIN 0002 is a not-to-exceed (NTE) T&amp;M CLIN based on a proposed ceiling of an on-call team required to ensure 24x7 product support after go live to Production. 
CLIN 0003-0004 is cost reimbursable CLIN that will fund apporved travel and Other Direct Costs</t>
    </r>
    <r>
      <rPr>
        <sz val="12"/>
        <color rgb="FF000000"/>
        <rFont val="Times New Roman"/>
      </rPr>
      <t xml:space="preserve">. 
</t>
    </r>
    <r>
      <rPr>
        <b/>
        <sz val="12"/>
        <color rgb="FF000000"/>
        <rFont val="Times New Roman"/>
      </rPr>
      <t xml:space="preserve">CLIN 0005 </t>
    </r>
    <r>
      <rPr>
        <b/>
        <sz val="12"/>
        <color rgb="FF000000"/>
        <rFont val="Times New Roman"/>
        <family val="1"/>
      </rPr>
      <t>is a not-to-exceed (NTE) CLIN made up of associated, firm-fixed-unit-price (FFUP) "step-CLINs"</t>
    </r>
    <r>
      <rPr>
        <sz val="12"/>
        <color rgb="FF000000"/>
        <rFont val="Times New Roman"/>
      </rPr>
      <t xml:space="preserve"> (0005a, 0005b, 0005c, 0005d) to establish a cost basis for the Government to approve additional Teams as Sprint objectives demand. 
CLIN 0001 will be funded at the time of award. CLIN 0002 - 0005 will be funded as needed at the discretion of the Government. Step-CLINs will establish a price per Team per Sprint. </t>
    </r>
    <r>
      <rPr>
        <b/>
        <sz val="12"/>
        <color rgb="FF000000"/>
        <rFont val="Times New Roman"/>
        <family val="1"/>
      </rPr>
      <t>For this CAMP pricing template, the number of optional teams have been pre-filled in each step-CLIN tab.</t>
    </r>
    <r>
      <rPr>
        <sz val="12"/>
        <color rgb="FF000000"/>
        <rFont val="Times New Roman"/>
      </rPr>
      <t xml:space="preserve">
The awarded Contractor will not activate Teams under any CLIN without prior approval from the COR. The awarded Contractor will invoice the government per Sprint. Should the combined value of exercised T&amp;M, cost reimbursable, or NTE CLIN achieve 75% of its stated value, the Contractor will notify the COR and request direction on the continued use of funds so as not to exceed the total available funds.</t>
    </r>
  </si>
  <si>
    <t>Product /Program Manager</t>
  </si>
  <si>
    <t>Subject Matter Expert</t>
  </si>
  <si>
    <t>Consultant</t>
  </si>
  <si>
    <t>Developer</t>
  </si>
  <si>
    <t>UX/UI Designer</t>
  </si>
  <si>
    <t>IT Content Strategy</t>
  </si>
  <si>
    <t>IT Training</t>
  </si>
  <si>
    <t>Digital Transformer</t>
  </si>
  <si>
    <t>Backend Engineer</t>
  </si>
  <si>
    <t>DevOps Engineer</t>
  </si>
  <si>
    <t>QA Engineer</t>
  </si>
  <si>
    <t>Frontend Engineer</t>
  </si>
  <si>
    <t>Delivery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</si>
</sst>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164" formatCode="&quot;$&quot;#,##0"/>
    <numFmt numFmtId="165" formatCode="_(&quot;$&quot;* #,##0_);_(&quot;$&quot;* \(#,##0\);_(&quot;$&quot;* &quot;-&quot;??_);_(@_)"/>
    <numFmt numFmtId="166" formatCode="000"/>
    <numFmt numFmtId="167" formatCode="&quot;$&quot;#,##0.00"/>
  </numFmts>
  <fonts count="20" x14ac:knownFonts="1">
    <font>
      <sz val="11"/>
      <color theme="1"/>
      <name val="Calibri"/>
      <family val="2"/>
      <scheme val="minor"/>
    </font>
    <font>
      <sz val="11"/>
      <color theme="1"/>
      <name val="Calibri"/>
      <family val="2"/>
      <scheme val="minor"/>
    </font>
    <font>
      <b/>
      <sz val="12"/>
      <color rgb="FF000000"/>
      <name val="Times New Roman"/>
      <family val="1"/>
    </font>
    <font>
      <sz val="12"/>
      <color rgb="FF000000"/>
      <name val="Times New Roman"/>
      <family val="1"/>
    </font>
    <font>
      <sz val="12"/>
      <color theme="1"/>
      <name val="Times New Roman"/>
      <family val="1"/>
    </font>
    <font>
      <sz val="10"/>
      <color indexed="8"/>
      <name val="Helvetica"/>
    </font>
    <font>
      <b/>
      <u/>
      <sz val="12"/>
      <color indexed="8"/>
      <name val="Times New Roman"/>
      <family val="1"/>
    </font>
    <font>
      <sz val="10"/>
      <color indexed="8"/>
      <name val="Times New Roman"/>
      <family val="1"/>
    </font>
    <font>
      <b/>
      <sz val="11"/>
      <color indexed="8"/>
      <name val="Times New Roman"/>
      <family val="1"/>
    </font>
    <font>
      <b/>
      <sz val="11"/>
      <color rgb="FF000000"/>
      <name val="Times New Roman"/>
      <family val="1"/>
    </font>
    <font>
      <sz val="11"/>
      <color indexed="8"/>
      <name val="Times New Roman"/>
      <family val="1"/>
    </font>
    <font>
      <b/>
      <u/>
      <sz val="11"/>
      <color indexed="8"/>
      <name val="Times New Roman"/>
      <family val="1"/>
    </font>
    <font>
      <b/>
      <sz val="12"/>
      <color indexed="8"/>
      <name val="Times New Roman"/>
      <family val="1"/>
    </font>
    <font>
      <sz val="12"/>
      <color indexed="8"/>
      <name val="Times New Roman"/>
      <family val="1"/>
    </font>
    <font>
      <b/>
      <sz val="12"/>
      <color rgb="FF000000"/>
      <name val="Times New Roman"/>
    </font>
    <font>
      <sz val="12"/>
      <color rgb="FF000000"/>
      <name val="Times New Roman"/>
    </font>
    <font>
      <b/>
      <sz val="11"/>
      <color rgb="FFFFFFFF"/>
      <name val="Times New Roman"/>
      <family val="1"/>
    </font>
    <font>
      <sz val="11"/>
      <color rgb="FF000000"/>
      <name val="Times New Roman"/>
      <family val="1"/>
    </font>
    <font>
      <b/>
      <sz val="10"/>
      <color indexed="8"/>
      <name val="Times New Roman"/>
      <family val="1"/>
    </font>
    <font>
      <b/>
      <sz val="11"/>
      <color indexed="8"/>
      <name val="Calibri"/>
      <family val="2"/>
    </font>
  </fonts>
  <fills count="12">
    <fill>
      <patternFill patternType="none"/>
    </fill>
    <fill>
      <patternFill patternType="gray125"/>
    </fill>
    <fill>
      <patternFill patternType="solid">
        <fgColor rgb="FFD0DDEF"/>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0"/>
        <bgColor auto="1"/>
      </patternFill>
    </fill>
    <fill>
      <patternFill patternType="solid">
        <fgColor theme="0"/>
        <bgColor rgb="FF000000"/>
      </patternFill>
    </fill>
    <fill>
      <patternFill patternType="solid">
        <fgColor theme="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1"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diagonal/>
    </border>
    <border>
      <left style="thin">
        <color theme="1"/>
      </left>
      <right style="thin">
        <color indexed="64"/>
      </right>
      <top style="thin">
        <color theme="1"/>
      </top>
      <bottom style="thin">
        <color theme="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Protection="0">
      <alignment vertical="top" wrapText="1"/>
    </xf>
    <xf numFmtId="44" fontId="5" fillId="0" borderId="0" applyFont="0" applyFill="0" applyBorder="0" applyAlignment="0" applyProtection="0"/>
  </cellStyleXfs>
  <cellXfs count="87">
    <xf numFmtId="0" fontId="0" fillId="0" borderId="0" xfId="0"/>
    <xf numFmtId="49" fontId="6" fillId="6" borderId="1" xfId="3" applyNumberFormat="1" applyFont="1" applyFill="1" applyBorder="1" applyAlignment="1">
      <alignment horizontal="center" vertical="top" wrapText="1"/>
    </xf>
    <xf numFmtId="0" fontId="7" fillId="0" borderId="0" xfId="3" applyNumberFormat="1" applyFont="1" applyAlignment="1">
      <alignment horizontal="center" vertical="top" wrapText="1"/>
    </xf>
    <xf numFmtId="0" fontId="7" fillId="0" borderId="0" xfId="3" applyFont="1" applyAlignment="1">
      <alignment horizontal="center" vertical="top" wrapText="1"/>
    </xf>
    <xf numFmtId="0" fontId="8" fillId="6" borderId="1" xfId="3" applyNumberFormat="1" applyFont="1" applyFill="1" applyBorder="1" applyAlignment="1">
      <alignment horizontal="left" vertical="top" wrapText="1"/>
    </xf>
    <xf numFmtId="0" fontId="8" fillId="6" borderId="1" xfId="3" applyNumberFormat="1" applyFont="1" applyFill="1" applyBorder="1" applyAlignment="1">
      <alignment horizontal="center" vertical="top" wrapText="1"/>
    </xf>
    <xf numFmtId="0" fontId="7" fillId="0" borderId="0" xfId="3" applyNumberFormat="1" applyFont="1">
      <alignment vertical="top" wrapText="1"/>
    </xf>
    <xf numFmtId="0" fontId="7" fillId="0" borderId="0" xfId="3" applyFont="1">
      <alignment vertical="top" wrapText="1"/>
    </xf>
    <xf numFmtId="0" fontId="9" fillId="7" borderId="1" xfId="3" applyFont="1" applyFill="1" applyBorder="1">
      <alignment vertical="top" wrapText="1"/>
    </xf>
    <xf numFmtId="0" fontId="8" fillId="0" borderId="0" xfId="3" applyNumberFormat="1" applyFont="1">
      <alignment vertical="top" wrapText="1"/>
    </xf>
    <xf numFmtId="0" fontId="10" fillId="0" borderId="0" xfId="3" applyNumberFormat="1" applyFont="1">
      <alignment vertical="top" wrapText="1"/>
    </xf>
    <xf numFmtId="0" fontId="10" fillId="0" borderId="0" xfId="3" applyFont="1">
      <alignment vertical="top" wrapText="1"/>
    </xf>
    <xf numFmtId="0" fontId="11" fillId="0" borderId="1" xfId="3" applyNumberFormat="1" applyFont="1" applyBorder="1">
      <alignment vertical="top" wrapText="1"/>
    </xf>
    <xf numFmtId="0" fontId="10" fillId="0" borderId="1" xfId="3" applyNumberFormat="1" applyFont="1" applyBorder="1">
      <alignment vertical="top" wrapText="1"/>
    </xf>
    <xf numFmtId="165" fontId="8" fillId="5" borderId="1" xfId="4" applyNumberFormat="1" applyFont="1" applyFill="1" applyBorder="1" applyAlignment="1">
      <alignment horizontal="right" vertical="top" wrapText="1"/>
    </xf>
    <xf numFmtId="165" fontId="8" fillId="5" borderId="3" xfId="3" applyNumberFormat="1" applyFont="1" applyFill="1" applyBorder="1">
      <alignment vertical="top" wrapText="1"/>
    </xf>
    <xf numFmtId="165" fontId="8" fillId="5" borderId="1" xfId="4" applyNumberFormat="1" applyFont="1" applyFill="1" applyBorder="1" applyAlignment="1">
      <alignment horizontal="left" vertical="top" wrapText="1"/>
    </xf>
    <xf numFmtId="0" fontId="10" fillId="0" borderId="1" xfId="3" applyNumberFormat="1" applyFont="1" applyBorder="1" applyAlignment="1">
      <alignment horizontal="center" vertical="center" wrapText="1"/>
    </xf>
    <xf numFmtId="164" fontId="10" fillId="0" borderId="1" xfId="3" applyNumberFormat="1" applyFont="1" applyBorder="1" applyAlignment="1">
      <alignment horizontal="center" vertical="center" wrapText="1"/>
    </xf>
    <xf numFmtId="0" fontId="10" fillId="0" borderId="1" xfId="3" applyNumberFormat="1" applyFont="1" applyBorder="1" applyAlignment="1">
      <alignment vertical="center" wrapText="1"/>
    </xf>
    <xf numFmtId="165" fontId="10" fillId="5" borderId="1" xfId="3" applyNumberFormat="1" applyFont="1" applyFill="1" applyBorder="1" applyAlignment="1">
      <alignment vertical="center" wrapText="1"/>
    </xf>
    <xf numFmtId="0" fontId="10" fillId="0" borderId="0" xfId="3" applyNumberFormat="1" applyFont="1" applyAlignment="1">
      <alignment vertical="center" wrapText="1"/>
    </xf>
    <xf numFmtId="0" fontId="8" fillId="0" borderId="2" xfId="3" applyFont="1" applyBorder="1" applyAlignment="1">
      <alignment vertical="center" wrapText="1"/>
    </xf>
    <xf numFmtId="165" fontId="8" fillId="5" borderId="3" xfId="1" applyNumberFormat="1" applyFont="1" applyFill="1" applyBorder="1" applyAlignment="1">
      <alignment vertical="center" wrapText="1"/>
    </xf>
    <xf numFmtId="0" fontId="12" fillId="0" borderId="0" xfId="3" applyFont="1" applyBorder="1" applyAlignment="1">
      <alignment horizontal="center"/>
    </xf>
    <xf numFmtId="0" fontId="12" fillId="0" borderId="3" xfId="3" applyFont="1" applyBorder="1" applyAlignment="1">
      <alignment horizontal="center" wrapText="1"/>
    </xf>
    <xf numFmtId="164" fontId="10" fillId="4" borderId="4" xfId="4" applyNumberFormat="1" applyFont="1" applyFill="1" applyBorder="1" applyAlignment="1">
      <alignment horizontal="center" vertical="center" wrapText="1"/>
    </xf>
    <xf numFmtId="9" fontId="13" fillId="0" borderId="0" xfId="2" applyFont="1" applyBorder="1" applyAlignment="1">
      <alignment horizontal="center"/>
    </xf>
    <xf numFmtId="164" fontId="13" fillId="5" borderId="4" xfId="3" applyNumberFormat="1" applyFont="1" applyFill="1" applyBorder="1" applyAlignment="1">
      <alignment horizontal="center" vertical="center"/>
    </xf>
    <xf numFmtId="164" fontId="13" fillId="5" borderId="1" xfId="3" applyNumberFormat="1" applyFont="1" applyFill="1" applyBorder="1" applyAlignment="1">
      <alignment horizontal="center" vertical="center"/>
    </xf>
    <xf numFmtId="10" fontId="13" fillId="3" borderId="3" xfId="2" applyNumberFormat="1" applyFont="1" applyFill="1" applyBorder="1" applyAlignment="1">
      <alignment horizontal="center" vertical="center" wrapText="1"/>
    </xf>
    <xf numFmtId="0" fontId="8" fillId="3" borderId="0" xfId="3" applyNumberFormat="1" applyFont="1" applyFill="1">
      <alignment vertical="top" wrapText="1"/>
    </xf>
    <xf numFmtId="0" fontId="19" fillId="8" borderId="6" xfId="0" applyFont="1" applyFill="1" applyBorder="1" applyAlignment="1">
      <alignment horizontal="left" vertical="top" wrapText="1"/>
    </xf>
    <xf numFmtId="0" fontId="18" fillId="0" borderId="0" xfId="3" applyFont="1" applyFill="1">
      <alignment vertical="top" wrapText="1"/>
    </xf>
    <xf numFmtId="0" fontId="12" fillId="0" borderId="2" xfId="3" applyFont="1" applyBorder="1" applyAlignment="1">
      <alignment wrapText="1"/>
    </xf>
    <xf numFmtId="0" fontId="12" fillId="0" borderId="11" xfId="3" applyFont="1" applyBorder="1" applyAlignment="1">
      <alignment horizontal="center" wrapText="1"/>
    </xf>
    <xf numFmtId="0" fontId="12" fillId="5" borderId="13" xfId="3" applyFont="1" applyFill="1" applyBorder="1" applyAlignment="1">
      <alignment horizontal="center" wrapText="1"/>
    </xf>
    <xf numFmtId="0" fontId="12" fillId="5" borderId="14" xfId="3" applyFont="1" applyFill="1" applyBorder="1" applyAlignment="1">
      <alignment horizontal="center" wrapText="1"/>
    </xf>
    <xf numFmtId="0" fontId="12" fillId="5" borderId="15" xfId="3" applyFont="1" applyFill="1" applyBorder="1" applyAlignment="1">
      <alignment horizontal="center" wrapText="1"/>
    </xf>
    <xf numFmtId="0" fontId="7" fillId="0" borderId="0" xfId="3" applyNumberFormat="1" applyFont="1" applyFill="1" applyBorder="1">
      <alignment vertical="top" wrapText="1"/>
    </xf>
    <xf numFmtId="165" fontId="7" fillId="5" borderId="3" xfId="3" applyNumberFormat="1" applyFont="1" applyFill="1" applyBorder="1">
      <alignment vertical="top" wrapText="1"/>
    </xf>
    <xf numFmtId="44" fontId="7" fillId="5" borderId="3" xfId="1" applyFont="1" applyFill="1" applyBorder="1" applyAlignment="1">
      <alignment vertical="top" wrapText="1"/>
    </xf>
    <xf numFmtId="1" fontId="7" fillId="4" borderId="3" xfId="3" applyNumberFormat="1" applyFont="1" applyFill="1" applyBorder="1">
      <alignment vertical="top" wrapText="1"/>
    </xf>
    <xf numFmtId="44" fontId="7" fillId="5" borderId="3" xfId="3" applyNumberFormat="1" applyFont="1" applyFill="1" applyBorder="1">
      <alignment vertical="top" wrapText="1"/>
    </xf>
    <xf numFmtId="0" fontId="17" fillId="0" borderId="9" xfId="0" applyFont="1" applyBorder="1" applyAlignment="1">
      <alignment vertical="center" wrapText="1"/>
    </xf>
    <xf numFmtId="0" fontId="17" fillId="0" borderId="3" xfId="0" applyFont="1" applyBorder="1" applyAlignment="1">
      <alignment vertical="center" wrapText="1"/>
    </xf>
    <xf numFmtId="0" fontId="17" fillId="0" borderId="3" xfId="0" applyFont="1" applyBorder="1" applyAlignment="1">
      <alignment horizontal="center" vertical="center" wrapText="1"/>
    </xf>
    <xf numFmtId="167" fontId="17" fillId="0" borderId="3" xfId="1" applyNumberFormat="1" applyFont="1" applyBorder="1" applyAlignment="1">
      <alignment horizontal="right" vertical="center" wrapText="1"/>
    </xf>
    <xf numFmtId="8" fontId="17" fillId="0" borderId="3" xfId="0" applyNumberFormat="1" applyFont="1" applyBorder="1" applyAlignment="1">
      <alignment horizontal="right" vertical="center" wrapText="1"/>
    </xf>
    <xf numFmtId="0" fontId="17" fillId="0" borderId="9" xfId="0" applyFont="1" applyBorder="1" applyAlignment="1">
      <alignment horizontal="center" vertical="center" wrapText="1"/>
    </xf>
    <xf numFmtId="8" fontId="17" fillId="0" borderId="9" xfId="0" applyNumberFormat="1" applyFont="1" applyBorder="1" applyAlignment="1">
      <alignment horizontal="right" vertical="center" wrapText="1"/>
    </xf>
    <xf numFmtId="166" fontId="17" fillId="0" borderId="3" xfId="0" applyNumberFormat="1" applyFont="1" applyBorder="1" applyAlignment="1">
      <alignment horizontal="center" vertical="center" wrapText="1"/>
    </xf>
    <xf numFmtId="0" fontId="0" fillId="0" borderId="0" xfId="0" applyAlignment="1">
      <alignment horizontal="center"/>
    </xf>
    <xf numFmtId="0" fontId="17" fillId="0" borderId="3" xfId="0" applyFont="1" applyBorder="1" applyAlignment="1">
      <alignment horizontal="left" vertical="center" wrapText="1"/>
    </xf>
    <xf numFmtId="0" fontId="0" fillId="0" borderId="0" xfId="0" applyAlignment="1">
      <alignment horizontal="left"/>
    </xf>
    <xf numFmtId="0" fontId="9" fillId="10" borderId="3" xfId="0" applyFont="1" applyFill="1" applyBorder="1" applyAlignment="1">
      <alignment horizontal="center" vertical="center" wrapText="1"/>
    </xf>
    <xf numFmtId="0" fontId="9" fillId="10" borderId="3" xfId="0" applyFont="1" applyFill="1" applyBorder="1" applyAlignment="1">
      <alignment horizontal="left" vertical="center" wrapText="1"/>
    </xf>
    <xf numFmtId="8" fontId="9" fillId="10" borderId="3" xfId="0" applyNumberFormat="1" applyFont="1" applyFill="1" applyBorder="1" applyAlignment="1">
      <alignment horizontal="right" vertical="center" wrapText="1"/>
    </xf>
    <xf numFmtId="0" fontId="17" fillId="11" borderId="3" xfId="0" applyFont="1" applyFill="1" applyBorder="1" applyAlignment="1">
      <alignment horizontal="center" vertical="center" wrapText="1"/>
    </xf>
    <xf numFmtId="8" fontId="17" fillId="11" borderId="3"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8" fontId="9" fillId="0" borderId="1" xfId="0" applyNumberFormat="1" applyFont="1" applyBorder="1" applyAlignment="1">
      <alignment vertical="center" wrapText="1"/>
    </xf>
    <xf numFmtId="0" fontId="9" fillId="11" borderId="3"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2" fillId="5" borderId="2" xfId="3" applyFont="1" applyFill="1" applyBorder="1" applyAlignment="1">
      <alignment horizontal="center"/>
    </xf>
    <xf numFmtId="0" fontId="12" fillId="5" borderId="11" xfId="3" applyFont="1" applyFill="1" applyBorder="1" applyAlignment="1">
      <alignment horizontal="center"/>
    </xf>
    <xf numFmtId="0" fontId="12" fillId="5" borderId="12" xfId="3" applyFont="1" applyFill="1" applyBorder="1" applyAlignment="1">
      <alignment horizontal="center"/>
    </xf>
    <xf numFmtId="0" fontId="12" fillId="0" borderId="2" xfId="3" applyFont="1" applyBorder="1" applyAlignment="1">
      <alignment horizontal="center"/>
    </xf>
    <xf numFmtId="0" fontId="12" fillId="0" borderId="11" xfId="3" applyFont="1" applyBorder="1" applyAlignment="1">
      <alignment horizontal="center"/>
    </xf>
    <xf numFmtId="0" fontId="12" fillId="0" borderId="12" xfId="3" applyFont="1" applyBorder="1" applyAlignment="1">
      <alignment horizontal="center"/>
    </xf>
    <xf numFmtId="166" fontId="17" fillId="0" borderId="17" xfId="0" applyNumberFormat="1" applyFont="1" applyBorder="1" applyAlignment="1">
      <alignment horizontal="center" vertical="center" wrapText="1"/>
    </xf>
    <xf numFmtId="166" fontId="17" fillId="0" borderId="18" xfId="0" applyNumberFormat="1" applyFont="1" applyBorder="1" applyAlignment="1">
      <alignment horizontal="center" vertical="center" wrapText="1"/>
    </xf>
    <xf numFmtId="166" fontId="17" fillId="0" borderId="19" xfId="0" applyNumberFormat="1" applyFont="1" applyBorder="1" applyAlignment="1">
      <alignment horizontal="center" vertical="center" wrapText="1"/>
    </xf>
    <xf numFmtId="0" fontId="16" fillId="9" borderId="5"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6" fillId="9" borderId="5" xfId="0" applyFont="1" applyFill="1" applyBorder="1" applyAlignment="1">
      <alignment horizontal="left" vertical="center" wrapText="1"/>
    </xf>
    <xf numFmtId="0" fontId="16" fillId="9" borderId="16" xfId="0" applyFont="1" applyFill="1" applyBorder="1" applyAlignment="1">
      <alignment horizontal="left" vertical="center" wrapText="1"/>
    </xf>
    <xf numFmtId="0" fontId="16" fillId="9" borderId="5" xfId="0" applyFont="1" applyFill="1" applyBorder="1" applyAlignment="1">
      <alignment vertical="center" wrapText="1"/>
    </xf>
    <xf numFmtId="0" fontId="16" fillId="9" borderId="16" xfId="0" applyFont="1" applyFill="1" applyBorder="1" applyAlignment="1">
      <alignment vertical="center" wrapText="1"/>
    </xf>
    <xf numFmtId="0" fontId="16" fillId="9" borderId="10" xfId="0" applyFont="1" applyFill="1" applyBorder="1" applyAlignment="1">
      <alignment horizontal="center" vertical="center" wrapText="1"/>
    </xf>
    <xf numFmtId="0" fontId="16" fillId="9" borderId="10" xfId="0" applyFont="1" applyFill="1" applyBorder="1" applyAlignment="1">
      <alignment horizontal="left" vertical="center" wrapText="1"/>
    </xf>
    <xf numFmtId="0" fontId="16" fillId="9" borderId="10" xfId="0" applyFont="1" applyFill="1" applyBorder="1" applyAlignment="1">
      <alignment vertical="center" wrapText="1"/>
    </xf>
  </cellXfs>
  <cellStyles count="5">
    <cellStyle name="Currency" xfId="1" builtinId="4"/>
    <cellStyle name="Currency 2" xfId="4" xr:uid="{5E7EA490-EA74-45F2-804D-71CB084E702C}"/>
    <cellStyle name="Normal" xfId="0" builtinId="0"/>
    <cellStyle name="Normal 2" xfId="3" xr:uid="{7B9FE2FF-7500-4554-BC37-B88B345EE5B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4654C230-3F0F-486C-8182-8F9D4D7E388A}"/>
            </a:ext>
          </a:extLst>
        </xdr:cNvPr>
        <xdr:cNvSpPr/>
      </xdr:nvSpPr>
      <xdr:spPr>
        <a:xfrm>
          <a:off x="847725" y="63500"/>
          <a:ext cx="2368550" cy="271166"/>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1427AEEE-C441-4D17-B155-F57F0C30C8B3}"/>
            </a:ext>
          </a:extLst>
        </xdr:cNvPr>
        <xdr:cNvSpPr/>
      </xdr:nvSpPr>
      <xdr:spPr>
        <a:xfrm>
          <a:off x="0" y="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0BBE3D16-E6CE-4156-8AF7-D09B861D7E47}"/>
            </a:ext>
          </a:extLst>
        </xdr:cNvPr>
        <xdr:cNvSpPr/>
      </xdr:nvSpPr>
      <xdr:spPr>
        <a:xfrm>
          <a:off x="0" y="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792A4A84-2A70-4697-B393-20AE94A6944D}"/>
            </a:ext>
          </a:extLst>
        </xdr:cNvPr>
        <xdr:cNvSpPr/>
      </xdr:nvSpPr>
      <xdr:spPr>
        <a:xfrm>
          <a:off x="0" y="22860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72BDE64F-0CF7-4F5B-9425-0A2D67D93C6B}"/>
            </a:ext>
          </a:extLst>
        </xdr:cNvPr>
        <xdr:cNvSpPr/>
      </xdr:nvSpPr>
      <xdr:spPr>
        <a:xfrm>
          <a:off x="0" y="22860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B55F0017-1B27-4E09-8C9A-66E0B8032D29}"/>
            </a:ext>
          </a:extLst>
        </xdr:cNvPr>
        <xdr:cNvSpPr/>
      </xdr:nvSpPr>
      <xdr:spPr>
        <a:xfrm>
          <a:off x="0" y="22860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26CE0CDF-3937-46D7-803A-8EE5B5AED5CB}"/>
            </a:ext>
          </a:extLst>
        </xdr:cNvPr>
        <xdr:cNvSpPr/>
      </xdr:nvSpPr>
      <xdr:spPr>
        <a:xfrm>
          <a:off x="0" y="22860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4D5FBEAE-A1B1-4967-8784-6FEE228B4CAE}"/>
            </a:ext>
          </a:extLst>
        </xdr:cNvPr>
        <xdr:cNvSpPr/>
      </xdr:nvSpPr>
      <xdr:spPr>
        <a:xfrm>
          <a:off x="0" y="22860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0</xdr:colOff>
      <xdr:row>1</xdr:row>
      <xdr:rowOff>0</xdr:rowOff>
    </xdr:to>
    <xdr:sp macro="" textlink="">
      <xdr:nvSpPr>
        <xdr:cNvPr id="2" name="Shape 2">
          <a:extLst>
            <a:ext uri="{FF2B5EF4-FFF2-40B4-BE49-F238E27FC236}">
              <a16:creationId xmlns:a16="http://schemas.microsoft.com/office/drawing/2014/main" id="{E80F0D88-3F5F-4DC6-AA0F-D97960F60DAE}"/>
            </a:ext>
          </a:extLst>
        </xdr:cNvPr>
        <xdr:cNvSpPr/>
      </xdr:nvSpPr>
      <xdr:spPr>
        <a:xfrm>
          <a:off x="0" y="228600"/>
          <a:ext cx="0" cy="0"/>
        </a:xfrm>
        <a:prstGeom prst="rect">
          <a:avLst/>
        </a:prstGeom>
        <a:solidFill>
          <a:srgbClr val="FFFFFF"/>
        </a:solidFill>
        <a:ln w="25400" cap="flat">
          <a:solidFill>
            <a:schemeClr val="accent1"/>
          </a:solidFill>
          <a:prstDash val="solid"/>
          <a:round/>
        </a:ln>
        <a:effectLst>
          <a:outerShdw blurRad="38100" dist="25400" dir="5400000" rotWithShape="0">
            <a:srgbClr val="000000">
              <a:alpha val="50000"/>
            </a:srgbClr>
          </a:outerShdw>
        </a:effectLst>
        <a:extLst>
          <a:ext uri="{C572A759-6A51-4108-AA02-DFA0A04FC94B}">
            <ma14:wrappingTextBoxFlag xmlns="" xmlns:ma14="http://schemas.microsoft.com/office/mac/drawingml/2011/main" val="1"/>
          </a:ext>
        </a:extLst>
      </xdr:spPr>
      <xdr:txBody>
        <a:bodyPr wrap="square" lIns="50800" tIns="50800" rIns="50800" bIns="50800" numCol="1" anchor="t">
          <a:spAutoFit/>
        </a:bodyPr>
        <a:lstStyle/>
        <a:p>
          <a:pPr marL="0" marR="0" indent="0" algn="ctr" defTabSz="914400" latinLnBrk="0">
            <a:lnSpc>
              <a:spcPct val="100000"/>
            </a:lnSpc>
            <a:spcBef>
              <a:spcPts val="0"/>
            </a:spcBef>
            <a:spcAft>
              <a:spcPts val="0"/>
            </a:spcAft>
            <a:buClrTx/>
            <a:buSzTx/>
            <a:buFontTx/>
            <a:buNone/>
            <a:tabLst/>
            <a:defRPr sz="1100" b="0" i="0" u="none" strike="noStrike" cap="none" spc="0" baseline="0">
              <a:ln>
                <a:noFill/>
              </a:ln>
              <a:solidFill>
                <a:srgbClr val="000000"/>
              </a:solidFill>
              <a:uFillTx/>
              <a:latin typeface="+mn-lt"/>
              <a:ea typeface="+mn-ea"/>
              <a:cs typeface="+mn-cs"/>
              <a:sym typeface="Helvetica"/>
            </a:defRPr>
          </a:pPr>
          <a:r>
            <a:rPr lang="en-US" sz="1100" b="1" i="0" u="none" strike="noStrike" cap="none" spc="0" baseline="0">
              <a:ln>
                <a:noFill/>
              </a:ln>
              <a:solidFill>
                <a:srgbClr val="000000"/>
              </a:solidFill>
              <a:uFillTx/>
              <a:latin typeface="+mn-lt"/>
              <a:ea typeface="+mn-ea"/>
              <a:cs typeface="+mn-cs"/>
              <a:sym typeface="Helvetica"/>
            </a:rPr>
            <a:t>Iteration Planner</a:t>
          </a:r>
          <a:endParaRPr sz="1100" b="1" i="0" u="none" strike="noStrike" cap="none" spc="0" baseline="0">
            <a:ln>
              <a:noFill/>
            </a:ln>
            <a:solidFill>
              <a:srgbClr val="000000"/>
            </a:solidFill>
            <a:uFillTx/>
            <a:latin typeface="+mn-lt"/>
            <a:ea typeface="+mn-ea"/>
            <a:cs typeface="+mn-cs"/>
            <a:sym typeface="Helvetica"/>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70D0-D511-4706-85AB-2A258F9F1D15}">
  <dimension ref="A1:C4"/>
  <sheetViews>
    <sheetView zoomScale="90" zoomScaleNormal="90" workbookViewId="0">
      <selection activeCell="B13" sqref="B13"/>
    </sheetView>
  </sheetViews>
  <sheetFormatPr baseColWidth="10" defaultColWidth="8.83203125" defaultRowHeight="15" x14ac:dyDescent="0.2"/>
  <cols>
    <col min="1" max="2" width="43.5" customWidth="1"/>
    <col min="3" max="3" width="47.33203125" customWidth="1"/>
    <col min="5" max="5" width="62.6640625" customWidth="1"/>
  </cols>
  <sheetData>
    <row r="1" spans="1:3" ht="16" x14ac:dyDescent="0.2">
      <c r="A1" s="63" t="s">
        <v>0</v>
      </c>
      <c r="B1" s="63"/>
      <c r="C1" s="63"/>
    </row>
    <row r="2" spans="1:3" ht="234" customHeight="1" x14ac:dyDescent="0.2">
      <c r="A2" s="64" t="s">
        <v>90</v>
      </c>
      <c r="B2" s="65"/>
      <c r="C2" s="65"/>
    </row>
    <row r="3" spans="1:3" ht="65" customHeight="1" x14ac:dyDescent="0.2">
      <c r="A3" s="64" t="s">
        <v>1</v>
      </c>
      <c r="B3" s="65"/>
      <c r="C3" s="65"/>
    </row>
    <row r="4" spans="1:3" ht="171" customHeight="1" x14ac:dyDescent="0.2">
      <c r="A4" s="64" t="s">
        <v>89</v>
      </c>
      <c r="B4" s="65"/>
      <c r="C4" s="65"/>
    </row>
  </sheetData>
  <mergeCells count="4">
    <mergeCell ref="A1:C1"/>
    <mergeCell ref="A2:C2"/>
    <mergeCell ref="A3:C3"/>
    <mergeCell ref="A4:C4"/>
  </mergeCells>
  <pageMargins left="0.7" right="0.7" top="0.75" bottom="0.75" header="0.3" footer="0.3"/>
  <headerFooter>
    <oddFooter>&amp;C_x000D_&amp;1#&amp;"Calibri"&amp;14&amp;K000000 SBU - CONTRACTING AND ACQUISITIONS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93791-1C94-487D-94BF-E0E8710A4D74}">
  <dimension ref="A1:H44"/>
  <sheetViews>
    <sheetView zoomScale="110" zoomScaleNormal="110" workbookViewId="0">
      <selection activeCell="H8" sqref="H8"/>
    </sheetView>
  </sheetViews>
  <sheetFormatPr baseColWidth="10" defaultColWidth="8.6640625" defaultRowHeight="13" x14ac:dyDescent="0.2"/>
  <cols>
    <col min="1" max="1" width="41.1640625" style="7" customWidth="1"/>
    <col min="2" max="2" width="12.1640625" style="7" customWidth="1"/>
    <col min="3" max="3" width="13.6640625" style="7" customWidth="1"/>
    <col min="4" max="4" width="11.5" style="7" customWidth="1"/>
    <col min="5" max="5" width="17.1640625" style="7" bestFit="1" customWidth="1"/>
    <col min="6" max="8" width="11.1640625" style="7" customWidth="1"/>
    <col min="9" max="16384" width="8.6640625" style="7"/>
  </cols>
  <sheetData>
    <row r="1" spans="1:8" ht="17" thickBot="1" x14ac:dyDescent="0.25">
      <c r="A1" s="24" t="s">
        <v>2</v>
      </c>
      <c r="B1" s="30">
        <v>0.02</v>
      </c>
    </row>
    <row r="2" spans="1:8" ht="14" thickBot="1" x14ac:dyDescent="0.25"/>
    <row r="3" spans="1:8" ht="15.5" customHeight="1" thickBot="1" x14ac:dyDescent="0.25">
      <c r="A3" s="33"/>
      <c r="B3" s="69" t="s">
        <v>3</v>
      </c>
      <c r="C3" s="70"/>
      <c r="D3" s="71"/>
      <c r="F3" s="66" t="s">
        <v>4</v>
      </c>
      <c r="G3" s="67"/>
      <c r="H3" s="68"/>
    </row>
    <row r="4" spans="1:8" ht="50.25" customHeight="1" thickBot="1" x14ac:dyDescent="0.25">
      <c r="A4" s="24" t="s">
        <v>5</v>
      </c>
      <c r="B4" s="34" t="s">
        <v>6</v>
      </c>
      <c r="C4" s="35" t="s">
        <v>7</v>
      </c>
      <c r="D4" s="35" t="s">
        <v>8</v>
      </c>
      <c r="E4" s="25" t="s">
        <v>9</v>
      </c>
      <c r="F4" s="36" t="s">
        <v>6</v>
      </c>
      <c r="G4" s="37" t="s">
        <v>7</v>
      </c>
      <c r="H4" s="38" t="s">
        <v>8</v>
      </c>
    </row>
    <row r="5" spans="1:8" ht="17.25" customHeight="1" x14ac:dyDescent="0.2">
      <c r="A5" s="32" t="s">
        <v>91</v>
      </c>
      <c r="B5" s="26">
        <v>168</v>
      </c>
      <c r="C5" s="26">
        <f>B5*(1+$B$1)</f>
        <v>171.36</v>
      </c>
      <c r="D5" s="26">
        <f>C5*(1+$B$1)</f>
        <v>174.78720000000001</v>
      </c>
      <c r="E5" s="27">
        <v>0</v>
      </c>
      <c r="F5" s="28">
        <f t="shared" ref="F5:F44" si="0">B5*(1-$E5)</f>
        <v>168</v>
      </c>
      <c r="G5" s="28">
        <f t="shared" ref="G5:G44" si="1">C5*(1-$E5)</f>
        <v>171.36</v>
      </c>
      <c r="H5" s="28">
        <f t="shared" ref="H5:H44" si="2">D5*(1-$E5)</f>
        <v>174.78720000000001</v>
      </c>
    </row>
    <row r="6" spans="1:8" ht="17.25" customHeight="1" x14ac:dyDescent="0.2">
      <c r="A6" s="32" t="s">
        <v>92</v>
      </c>
      <c r="B6" s="26">
        <v>185</v>
      </c>
      <c r="C6" s="26">
        <f t="shared" ref="C6:D6" si="3">B6*(1+$B$1)</f>
        <v>188.70000000000002</v>
      </c>
      <c r="D6" s="26">
        <f t="shared" si="3"/>
        <v>192.47400000000002</v>
      </c>
      <c r="E6" s="27">
        <v>0.09</v>
      </c>
      <c r="F6" s="29">
        <f t="shared" si="0"/>
        <v>168.35</v>
      </c>
      <c r="G6" s="29">
        <f t="shared" si="1"/>
        <v>171.71700000000001</v>
      </c>
      <c r="H6" s="29">
        <f t="shared" si="2"/>
        <v>175.15134000000003</v>
      </c>
    </row>
    <row r="7" spans="1:8" ht="17.25" customHeight="1" x14ac:dyDescent="0.2">
      <c r="A7" s="32" t="s">
        <v>93</v>
      </c>
      <c r="B7" s="26">
        <v>185</v>
      </c>
      <c r="C7" s="26">
        <f t="shared" ref="C7:D7" si="4">B7*(1+$B$1)</f>
        <v>188.70000000000002</v>
      </c>
      <c r="D7" s="26">
        <f t="shared" si="4"/>
        <v>192.47400000000002</v>
      </c>
      <c r="E7" s="27">
        <v>0</v>
      </c>
      <c r="F7" s="29">
        <f t="shared" si="0"/>
        <v>185</v>
      </c>
      <c r="G7" s="29">
        <f t="shared" si="1"/>
        <v>188.70000000000002</v>
      </c>
      <c r="H7" s="29">
        <f t="shared" si="2"/>
        <v>192.47400000000002</v>
      </c>
    </row>
    <row r="8" spans="1:8" ht="17.25" customHeight="1" x14ac:dyDescent="0.2">
      <c r="A8" s="32" t="s">
        <v>94</v>
      </c>
      <c r="B8" s="26">
        <v>212</v>
      </c>
      <c r="C8" s="26">
        <f t="shared" ref="C8:D8" si="5">B8*(1+$B$1)</f>
        <v>216.24</v>
      </c>
      <c r="D8" s="26">
        <f t="shared" si="5"/>
        <v>220.56480000000002</v>
      </c>
      <c r="E8" s="27">
        <v>0.12</v>
      </c>
      <c r="F8" s="29">
        <f t="shared" si="0"/>
        <v>186.56</v>
      </c>
      <c r="G8" s="29">
        <f t="shared" si="1"/>
        <v>190.2912</v>
      </c>
      <c r="H8" s="29">
        <f t="shared" si="2"/>
        <v>194.097024</v>
      </c>
    </row>
    <row r="9" spans="1:8" ht="17.25" customHeight="1" x14ac:dyDescent="0.2">
      <c r="A9" s="32" t="s">
        <v>95</v>
      </c>
      <c r="B9" s="26">
        <v>143</v>
      </c>
      <c r="C9" s="26">
        <f t="shared" ref="C9:D9" si="6">B9*(1+$B$1)</f>
        <v>145.86000000000001</v>
      </c>
      <c r="D9" s="26">
        <f t="shared" si="6"/>
        <v>148.77720000000002</v>
      </c>
      <c r="E9" s="27">
        <v>0</v>
      </c>
      <c r="F9" s="29">
        <f t="shared" si="0"/>
        <v>143</v>
      </c>
      <c r="G9" s="29">
        <f t="shared" si="1"/>
        <v>145.86000000000001</v>
      </c>
      <c r="H9" s="29">
        <f t="shared" si="2"/>
        <v>148.77720000000002</v>
      </c>
    </row>
    <row r="10" spans="1:8" ht="17.25" customHeight="1" x14ac:dyDescent="0.2">
      <c r="A10" s="32" t="s">
        <v>96</v>
      </c>
      <c r="B10" s="26">
        <v>127</v>
      </c>
      <c r="C10" s="26">
        <f t="shared" ref="C10:D10" si="7">B10*(1+$B$1)</f>
        <v>129.54</v>
      </c>
      <c r="D10" s="26">
        <f t="shared" si="7"/>
        <v>132.13079999999999</v>
      </c>
      <c r="E10" s="27">
        <v>0</v>
      </c>
      <c r="F10" s="29">
        <f t="shared" si="0"/>
        <v>127</v>
      </c>
      <c r="G10" s="29">
        <f t="shared" si="1"/>
        <v>129.54</v>
      </c>
      <c r="H10" s="29">
        <f t="shared" si="2"/>
        <v>132.13079999999999</v>
      </c>
    </row>
    <row r="11" spans="1:8" ht="17.25" customHeight="1" x14ac:dyDescent="0.2">
      <c r="A11" s="32" t="s">
        <v>97</v>
      </c>
      <c r="B11" s="26">
        <v>159</v>
      </c>
      <c r="C11" s="26">
        <f t="shared" ref="C11:D11" si="8">B11*(1+$B$1)</f>
        <v>162.18</v>
      </c>
      <c r="D11" s="26">
        <f t="shared" si="8"/>
        <v>165.42360000000002</v>
      </c>
      <c r="E11" s="27">
        <v>0.08</v>
      </c>
      <c r="F11" s="29">
        <f t="shared" si="0"/>
        <v>146.28</v>
      </c>
      <c r="G11" s="29">
        <f t="shared" si="1"/>
        <v>149.2056</v>
      </c>
      <c r="H11" s="29">
        <f t="shared" si="2"/>
        <v>152.18971200000001</v>
      </c>
    </row>
    <row r="12" spans="1:8" ht="17.25" customHeight="1" x14ac:dyDescent="0.2">
      <c r="A12" s="32" t="s">
        <v>98</v>
      </c>
      <c r="B12" s="26">
        <v>159</v>
      </c>
      <c r="C12" s="26">
        <f t="shared" ref="C12:D12" si="9">B12*(1+$B$1)</f>
        <v>162.18</v>
      </c>
      <c r="D12" s="26">
        <f t="shared" si="9"/>
        <v>165.42360000000002</v>
      </c>
      <c r="E12" s="27">
        <v>0</v>
      </c>
      <c r="F12" s="29">
        <f t="shared" si="0"/>
        <v>159</v>
      </c>
      <c r="G12" s="29">
        <f t="shared" si="1"/>
        <v>162.18</v>
      </c>
      <c r="H12" s="29">
        <f t="shared" si="2"/>
        <v>165.42360000000002</v>
      </c>
    </row>
    <row r="13" spans="1:8" ht="17.25" customHeight="1" x14ac:dyDescent="0.2">
      <c r="A13" s="32"/>
      <c r="B13" s="26">
        <v>0</v>
      </c>
      <c r="C13" s="26">
        <f t="shared" ref="C13:D13" si="10">B13*(1+$B$1)</f>
        <v>0</v>
      </c>
      <c r="D13" s="26">
        <f t="shared" si="10"/>
        <v>0</v>
      </c>
      <c r="E13" s="27">
        <v>0</v>
      </c>
      <c r="F13" s="29">
        <f t="shared" si="0"/>
        <v>0</v>
      </c>
      <c r="G13" s="29">
        <f t="shared" si="1"/>
        <v>0</v>
      </c>
      <c r="H13" s="29">
        <f t="shared" si="2"/>
        <v>0</v>
      </c>
    </row>
    <row r="14" spans="1:8" ht="17.25" customHeight="1" x14ac:dyDescent="0.2">
      <c r="A14" s="32"/>
      <c r="B14" s="26">
        <v>0</v>
      </c>
      <c r="C14" s="26">
        <f t="shared" ref="C14:D14" si="11">B14*(1+$B$1)</f>
        <v>0</v>
      </c>
      <c r="D14" s="26">
        <f t="shared" si="11"/>
        <v>0</v>
      </c>
      <c r="E14" s="27">
        <v>0</v>
      </c>
      <c r="F14" s="29">
        <f t="shared" si="0"/>
        <v>0</v>
      </c>
      <c r="G14" s="29">
        <f t="shared" si="1"/>
        <v>0</v>
      </c>
      <c r="H14" s="29">
        <f t="shared" si="2"/>
        <v>0</v>
      </c>
    </row>
    <row r="15" spans="1:8" ht="17.25" customHeight="1" x14ac:dyDescent="0.2">
      <c r="A15" s="32"/>
      <c r="B15" s="26">
        <v>0</v>
      </c>
      <c r="C15" s="26">
        <f t="shared" ref="C15:D15" si="12">B15*(1+$B$1)</f>
        <v>0</v>
      </c>
      <c r="D15" s="26">
        <f t="shared" si="12"/>
        <v>0</v>
      </c>
      <c r="E15" s="27">
        <v>0</v>
      </c>
      <c r="F15" s="29">
        <f t="shared" si="0"/>
        <v>0</v>
      </c>
      <c r="G15" s="29">
        <f t="shared" si="1"/>
        <v>0</v>
      </c>
      <c r="H15" s="29">
        <f t="shared" si="2"/>
        <v>0</v>
      </c>
    </row>
    <row r="16" spans="1:8" ht="17.25" customHeight="1" x14ac:dyDescent="0.2">
      <c r="A16" s="32"/>
      <c r="B16" s="26">
        <v>0</v>
      </c>
      <c r="C16" s="26">
        <f t="shared" ref="C16:D16" si="13">B16*(1+$B$1)</f>
        <v>0</v>
      </c>
      <c r="D16" s="26">
        <f t="shared" si="13"/>
        <v>0</v>
      </c>
      <c r="E16" s="27">
        <v>0</v>
      </c>
      <c r="F16" s="29">
        <f t="shared" si="0"/>
        <v>0</v>
      </c>
      <c r="G16" s="29">
        <f t="shared" si="1"/>
        <v>0</v>
      </c>
      <c r="H16" s="29">
        <f t="shared" si="2"/>
        <v>0</v>
      </c>
    </row>
    <row r="17" spans="1:8" ht="17.25" customHeight="1" x14ac:dyDescent="0.2">
      <c r="A17" s="32"/>
      <c r="B17" s="26">
        <v>0</v>
      </c>
      <c r="C17" s="26">
        <f t="shared" ref="C17:D17" si="14">B17*(1+$B$1)</f>
        <v>0</v>
      </c>
      <c r="D17" s="26">
        <f t="shared" si="14"/>
        <v>0</v>
      </c>
      <c r="E17" s="27">
        <v>0</v>
      </c>
      <c r="F17" s="29">
        <f t="shared" si="0"/>
        <v>0</v>
      </c>
      <c r="G17" s="29">
        <f t="shared" si="1"/>
        <v>0</v>
      </c>
      <c r="H17" s="29">
        <f t="shared" si="2"/>
        <v>0</v>
      </c>
    </row>
    <row r="18" spans="1:8" ht="17.25" customHeight="1" x14ac:dyDescent="0.2">
      <c r="A18" s="32"/>
      <c r="B18" s="26">
        <v>0</v>
      </c>
      <c r="C18" s="26">
        <f t="shared" ref="C18:D18" si="15">B18*(1+$B$1)</f>
        <v>0</v>
      </c>
      <c r="D18" s="26">
        <f t="shared" si="15"/>
        <v>0</v>
      </c>
      <c r="E18" s="27">
        <v>0</v>
      </c>
      <c r="F18" s="29">
        <f t="shared" si="0"/>
        <v>0</v>
      </c>
      <c r="G18" s="29">
        <f t="shared" si="1"/>
        <v>0</v>
      </c>
      <c r="H18" s="29">
        <f t="shared" si="2"/>
        <v>0</v>
      </c>
    </row>
    <row r="19" spans="1:8" ht="17.25" customHeight="1" x14ac:dyDescent="0.2">
      <c r="A19" s="32"/>
      <c r="B19" s="26">
        <v>0</v>
      </c>
      <c r="C19" s="26">
        <f t="shared" ref="C19:D19" si="16">B19*(1+$B$1)</f>
        <v>0</v>
      </c>
      <c r="D19" s="26">
        <f t="shared" si="16"/>
        <v>0</v>
      </c>
      <c r="E19" s="27">
        <v>0</v>
      </c>
      <c r="F19" s="29">
        <f t="shared" si="0"/>
        <v>0</v>
      </c>
      <c r="G19" s="29">
        <f t="shared" si="1"/>
        <v>0</v>
      </c>
      <c r="H19" s="29">
        <f t="shared" si="2"/>
        <v>0</v>
      </c>
    </row>
    <row r="20" spans="1:8" ht="17.25" customHeight="1" x14ac:dyDescent="0.2">
      <c r="A20" s="32"/>
      <c r="B20" s="26">
        <v>0</v>
      </c>
      <c r="C20" s="26">
        <f t="shared" ref="C20:D20" si="17">B20*(1+$B$1)</f>
        <v>0</v>
      </c>
      <c r="D20" s="26">
        <f t="shared" si="17"/>
        <v>0</v>
      </c>
      <c r="E20" s="27">
        <v>0</v>
      </c>
      <c r="F20" s="29">
        <f t="shared" si="0"/>
        <v>0</v>
      </c>
      <c r="G20" s="29">
        <f t="shared" si="1"/>
        <v>0</v>
      </c>
      <c r="H20" s="29">
        <f t="shared" si="2"/>
        <v>0</v>
      </c>
    </row>
    <row r="21" spans="1:8" ht="17.25" customHeight="1" x14ac:dyDescent="0.2">
      <c r="A21" s="32"/>
      <c r="B21" s="26">
        <v>0</v>
      </c>
      <c r="C21" s="26">
        <f t="shared" ref="C21:D21" si="18">B21*(1+$B$1)</f>
        <v>0</v>
      </c>
      <c r="D21" s="26">
        <f t="shared" si="18"/>
        <v>0</v>
      </c>
      <c r="E21" s="27">
        <v>0</v>
      </c>
      <c r="F21" s="29">
        <f t="shared" si="0"/>
        <v>0</v>
      </c>
      <c r="G21" s="29">
        <f t="shared" si="1"/>
        <v>0</v>
      </c>
      <c r="H21" s="29">
        <f t="shared" si="2"/>
        <v>0</v>
      </c>
    </row>
    <row r="22" spans="1:8" ht="17.25" customHeight="1" x14ac:dyDescent="0.2">
      <c r="A22" s="32"/>
      <c r="B22" s="26">
        <v>0</v>
      </c>
      <c r="C22" s="26">
        <f t="shared" ref="C22:D22" si="19">B22*(1+$B$1)</f>
        <v>0</v>
      </c>
      <c r="D22" s="26">
        <f t="shared" si="19"/>
        <v>0</v>
      </c>
      <c r="E22" s="27">
        <v>0</v>
      </c>
      <c r="F22" s="29">
        <f t="shared" si="0"/>
        <v>0</v>
      </c>
      <c r="G22" s="29">
        <f t="shared" si="1"/>
        <v>0</v>
      </c>
      <c r="H22" s="29">
        <f t="shared" si="2"/>
        <v>0</v>
      </c>
    </row>
    <row r="23" spans="1:8" ht="17.25" customHeight="1" x14ac:dyDescent="0.2">
      <c r="A23" s="32"/>
      <c r="B23" s="26">
        <v>0</v>
      </c>
      <c r="C23" s="26">
        <f t="shared" ref="C23:D23" si="20">B23*(1+$B$1)</f>
        <v>0</v>
      </c>
      <c r="D23" s="26">
        <f t="shared" si="20"/>
        <v>0</v>
      </c>
      <c r="E23" s="27">
        <v>0</v>
      </c>
      <c r="F23" s="29">
        <f t="shared" si="0"/>
        <v>0</v>
      </c>
      <c r="G23" s="29">
        <f t="shared" si="1"/>
        <v>0</v>
      </c>
      <c r="H23" s="29">
        <f t="shared" si="2"/>
        <v>0</v>
      </c>
    </row>
    <row r="24" spans="1:8" ht="17.25" customHeight="1" x14ac:dyDescent="0.2">
      <c r="A24" s="32"/>
      <c r="B24" s="26">
        <v>0</v>
      </c>
      <c r="C24" s="26">
        <f t="shared" ref="C24:D24" si="21">B24*(1+$B$1)</f>
        <v>0</v>
      </c>
      <c r="D24" s="26">
        <f t="shared" si="21"/>
        <v>0</v>
      </c>
      <c r="E24" s="27">
        <v>0</v>
      </c>
      <c r="F24" s="29">
        <f t="shared" si="0"/>
        <v>0</v>
      </c>
      <c r="G24" s="29">
        <f t="shared" si="1"/>
        <v>0</v>
      </c>
      <c r="H24" s="29">
        <f t="shared" si="2"/>
        <v>0</v>
      </c>
    </row>
    <row r="25" spans="1:8" ht="17.25" customHeight="1" x14ac:dyDescent="0.2">
      <c r="A25" s="32"/>
      <c r="B25" s="26">
        <v>0</v>
      </c>
      <c r="C25" s="26">
        <f t="shared" ref="C25:D25" si="22">B25*(1+$B$1)</f>
        <v>0</v>
      </c>
      <c r="D25" s="26">
        <f t="shared" si="22"/>
        <v>0</v>
      </c>
      <c r="E25" s="27">
        <v>0</v>
      </c>
      <c r="F25" s="29">
        <f t="shared" si="0"/>
        <v>0</v>
      </c>
      <c r="G25" s="29">
        <f t="shared" si="1"/>
        <v>0</v>
      </c>
      <c r="H25" s="29">
        <f t="shared" si="2"/>
        <v>0</v>
      </c>
    </row>
    <row r="26" spans="1:8" ht="17.25" customHeight="1" x14ac:dyDescent="0.2">
      <c r="A26" s="32"/>
      <c r="B26" s="26">
        <v>0</v>
      </c>
      <c r="C26" s="26">
        <f t="shared" ref="C26:D26" si="23">B26*(1+$B$1)</f>
        <v>0</v>
      </c>
      <c r="D26" s="26">
        <f t="shared" si="23"/>
        <v>0</v>
      </c>
      <c r="E26" s="27">
        <v>0</v>
      </c>
      <c r="F26" s="29">
        <f t="shared" si="0"/>
        <v>0</v>
      </c>
      <c r="G26" s="29">
        <f t="shared" si="1"/>
        <v>0</v>
      </c>
      <c r="H26" s="29">
        <f t="shared" si="2"/>
        <v>0</v>
      </c>
    </row>
    <row r="27" spans="1:8" ht="17.25" customHeight="1" x14ac:dyDescent="0.2">
      <c r="A27" s="32"/>
      <c r="B27" s="26">
        <v>0</v>
      </c>
      <c r="C27" s="26">
        <f t="shared" ref="C27:D27" si="24">B27*(1+$B$1)</f>
        <v>0</v>
      </c>
      <c r="D27" s="26">
        <f t="shared" si="24"/>
        <v>0</v>
      </c>
      <c r="E27" s="27">
        <v>0</v>
      </c>
      <c r="F27" s="29">
        <f t="shared" si="0"/>
        <v>0</v>
      </c>
      <c r="G27" s="29">
        <f t="shared" si="1"/>
        <v>0</v>
      </c>
      <c r="H27" s="29">
        <f t="shared" si="2"/>
        <v>0</v>
      </c>
    </row>
    <row r="28" spans="1:8" ht="17.25" customHeight="1" x14ac:dyDescent="0.2">
      <c r="A28" s="32"/>
      <c r="B28" s="26">
        <v>0</v>
      </c>
      <c r="C28" s="26">
        <f t="shared" ref="C28:D28" si="25">B28*(1+$B$1)</f>
        <v>0</v>
      </c>
      <c r="D28" s="26">
        <f t="shared" si="25"/>
        <v>0</v>
      </c>
      <c r="E28" s="27">
        <v>0</v>
      </c>
      <c r="F28" s="29">
        <f t="shared" si="0"/>
        <v>0</v>
      </c>
      <c r="G28" s="29">
        <f t="shared" si="1"/>
        <v>0</v>
      </c>
      <c r="H28" s="29">
        <f t="shared" si="2"/>
        <v>0</v>
      </c>
    </row>
    <row r="29" spans="1:8" ht="17.25" customHeight="1" x14ac:dyDescent="0.2">
      <c r="A29" s="32"/>
      <c r="B29" s="26">
        <v>0</v>
      </c>
      <c r="C29" s="26">
        <f t="shared" ref="C29:D29" si="26">B29*(1+$B$1)</f>
        <v>0</v>
      </c>
      <c r="D29" s="26">
        <f t="shared" si="26"/>
        <v>0</v>
      </c>
      <c r="E29" s="27">
        <v>0</v>
      </c>
      <c r="F29" s="29">
        <f t="shared" si="0"/>
        <v>0</v>
      </c>
      <c r="G29" s="29">
        <f t="shared" si="1"/>
        <v>0</v>
      </c>
      <c r="H29" s="29">
        <f t="shared" si="2"/>
        <v>0</v>
      </c>
    </row>
    <row r="30" spans="1:8" ht="17.25" customHeight="1" x14ac:dyDescent="0.2">
      <c r="A30" s="32"/>
      <c r="B30" s="26">
        <v>0</v>
      </c>
      <c r="C30" s="26">
        <f t="shared" ref="C30:D30" si="27">B30*(1+$B$1)</f>
        <v>0</v>
      </c>
      <c r="D30" s="26">
        <f t="shared" si="27"/>
        <v>0</v>
      </c>
      <c r="E30" s="27">
        <v>0</v>
      </c>
      <c r="F30" s="29">
        <f t="shared" si="0"/>
        <v>0</v>
      </c>
      <c r="G30" s="29">
        <f t="shared" si="1"/>
        <v>0</v>
      </c>
      <c r="H30" s="29">
        <f t="shared" si="2"/>
        <v>0</v>
      </c>
    </row>
    <row r="31" spans="1:8" ht="17.25" customHeight="1" x14ac:dyDescent="0.2">
      <c r="A31" s="32"/>
      <c r="B31" s="26">
        <v>0</v>
      </c>
      <c r="C31" s="26">
        <f t="shared" ref="C31:D31" si="28">B31*(1+$B$1)</f>
        <v>0</v>
      </c>
      <c r="D31" s="26">
        <f t="shared" si="28"/>
        <v>0</v>
      </c>
      <c r="E31" s="27">
        <v>0</v>
      </c>
      <c r="F31" s="29">
        <f t="shared" si="0"/>
        <v>0</v>
      </c>
      <c r="G31" s="29">
        <f t="shared" si="1"/>
        <v>0</v>
      </c>
      <c r="H31" s="29">
        <f t="shared" si="2"/>
        <v>0</v>
      </c>
    </row>
    <row r="32" spans="1:8" ht="17.25" customHeight="1" x14ac:dyDescent="0.2">
      <c r="A32" s="32"/>
      <c r="B32" s="26">
        <v>0</v>
      </c>
      <c r="C32" s="26">
        <f t="shared" ref="C32:D32" si="29">B32*(1+$B$1)</f>
        <v>0</v>
      </c>
      <c r="D32" s="26">
        <f t="shared" si="29"/>
        <v>0</v>
      </c>
      <c r="E32" s="27">
        <v>0</v>
      </c>
      <c r="F32" s="29">
        <f t="shared" si="0"/>
        <v>0</v>
      </c>
      <c r="G32" s="29">
        <f t="shared" si="1"/>
        <v>0</v>
      </c>
      <c r="H32" s="29">
        <f t="shared" si="2"/>
        <v>0</v>
      </c>
    </row>
    <row r="33" spans="1:8" ht="17.25" customHeight="1" x14ac:dyDescent="0.2">
      <c r="A33" s="32"/>
      <c r="B33" s="26">
        <v>0</v>
      </c>
      <c r="C33" s="26">
        <f t="shared" ref="C33:D33" si="30">B33*(1+$B$1)</f>
        <v>0</v>
      </c>
      <c r="D33" s="26">
        <f t="shared" si="30"/>
        <v>0</v>
      </c>
      <c r="E33" s="27">
        <v>0</v>
      </c>
      <c r="F33" s="29">
        <f t="shared" si="0"/>
        <v>0</v>
      </c>
      <c r="G33" s="29">
        <f t="shared" si="1"/>
        <v>0</v>
      </c>
      <c r="H33" s="29">
        <f t="shared" si="2"/>
        <v>0</v>
      </c>
    </row>
    <row r="34" spans="1:8" ht="17.25" customHeight="1" x14ac:dyDescent="0.2">
      <c r="A34" s="32"/>
      <c r="B34" s="26">
        <v>0</v>
      </c>
      <c r="C34" s="26">
        <f t="shared" ref="C34:D34" si="31">B34*(1+$B$1)</f>
        <v>0</v>
      </c>
      <c r="D34" s="26">
        <f t="shared" si="31"/>
        <v>0</v>
      </c>
      <c r="E34" s="27">
        <v>0</v>
      </c>
      <c r="F34" s="29">
        <f t="shared" si="0"/>
        <v>0</v>
      </c>
      <c r="G34" s="29">
        <f t="shared" si="1"/>
        <v>0</v>
      </c>
      <c r="H34" s="29">
        <f t="shared" si="2"/>
        <v>0</v>
      </c>
    </row>
    <row r="35" spans="1:8" ht="17.25" customHeight="1" x14ac:dyDescent="0.2">
      <c r="A35" s="32"/>
      <c r="B35" s="26">
        <v>0</v>
      </c>
      <c r="C35" s="26">
        <f t="shared" ref="C35:D35" si="32">B35*(1+$B$1)</f>
        <v>0</v>
      </c>
      <c r="D35" s="26">
        <f t="shared" si="32"/>
        <v>0</v>
      </c>
      <c r="E35" s="27">
        <v>0</v>
      </c>
      <c r="F35" s="29">
        <f t="shared" si="0"/>
        <v>0</v>
      </c>
      <c r="G35" s="29">
        <f t="shared" si="1"/>
        <v>0</v>
      </c>
      <c r="H35" s="29">
        <f t="shared" si="2"/>
        <v>0</v>
      </c>
    </row>
    <row r="36" spans="1:8" ht="16" x14ac:dyDescent="0.2">
      <c r="A36" s="32"/>
      <c r="B36" s="26">
        <v>0</v>
      </c>
      <c r="C36" s="26">
        <f t="shared" ref="C36:D36" si="33">B36*(1+$B$1)</f>
        <v>0</v>
      </c>
      <c r="D36" s="26">
        <f t="shared" si="33"/>
        <v>0</v>
      </c>
      <c r="E36" s="27">
        <v>0</v>
      </c>
      <c r="F36" s="29">
        <f t="shared" si="0"/>
        <v>0</v>
      </c>
      <c r="G36" s="29">
        <f t="shared" si="1"/>
        <v>0</v>
      </c>
      <c r="H36" s="29">
        <f t="shared" si="2"/>
        <v>0</v>
      </c>
    </row>
    <row r="37" spans="1:8" ht="16" x14ac:dyDescent="0.2">
      <c r="A37" s="32"/>
      <c r="B37" s="26">
        <v>0</v>
      </c>
      <c r="C37" s="26">
        <f t="shared" ref="C37:D37" si="34">B37*(1+$B$1)</f>
        <v>0</v>
      </c>
      <c r="D37" s="26">
        <f t="shared" si="34"/>
        <v>0</v>
      </c>
      <c r="E37" s="27">
        <v>0</v>
      </c>
      <c r="F37" s="29">
        <f t="shared" si="0"/>
        <v>0</v>
      </c>
      <c r="G37" s="29">
        <f t="shared" si="1"/>
        <v>0</v>
      </c>
      <c r="H37" s="29">
        <f t="shared" si="2"/>
        <v>0</v>
      </c>
    </row>
    <row r="38" spans="1:8" ht="16" x14ac:dyDescent="0.2">
      <c r="A38" s="32"/>
      <c r="B38" s="26">
        <v>0</v>
      </c>
      <c r="C38" s="26">
        <f t="shared" ref="C38:D38" si="35">B38*(1+$B$1)</f>
        <v>0</v>
      </c>
      <c r="D38" s="26">
        <f t="shared" si="35"/>
        <v>0</v>
      </c>
      <c r="E38" s="27">
        <v>0</v>
      </c>
      <c r="F38" s="29">
        <f t="shared" si="0"/>
        <v>0</v>
      </c>
      <c r="G38" s="29">
        <f t="shared" si="1"/>
        <v>0</v>
      </c>
      <c r="H38" s="29">
        <f t="shared" si="2"/>
        <v>0</v>
      </c>
    </row>
    <row r="39" spans="1:8" ht="16" x14ac:dyDescent="0.2">
      <c r="A39" s="32"/>
      <c r="B39" s="26">
        <v>0</v>
      </c>
      <c r="C39" s="26">
        <f t="shared" ref="C39:D39" si="36">B39*(1+$B$1)</f>
        <v>0</v>
      </c>
      <c r="D39" s="26">
        <f t="shared" si="36"/>
        <v>0</v>
      </c>
      <c r="E39" s="27">
        <v>0</v>
      </c>
      <c r="F39" s="29">
        <f t="shared" si="0"/>
        <v>0</v>
      </c>
      <c r="G39" s="29">
        <f t="shared" si="1"/>
        <v>0</v>
      </c>
      <c r="H39" s="29">
        <f t="shared" si="2"/>
        <v>0</v>
      </c>
    </row>
    <row r="40" spans="1:8" ht="16" x14ac:dyDescent="0.2">
      <c r="A40" s="32"/>
      <c r="B40" s="26">
        <v>0</v>
      </c>
      <c r="C40" s="26">
        <f t="shared" ref="C40:D40" si="37">B40*(1+$B$1)</f>
        <v>0</v>
      </c>
      <c r="D40" s="26">
        <f t="shared" si="37"/>
        <v>0</v>
      </c>
      <c r="E40" s="27">
        <v>0</v>
      </c>
      <c r="F40" s="29">
        <f t="shared" si="0"/>
        <v>0</v>
      </c>
      <c r="G40" s="29">
        <f t="shared" si="1"/>
        <v>0</v>
      </c>
      <c r="H40" s="29">
        <f t="shared" si="2"/>
        <v>0</v>
      </c>
    </row>
    <row r="41" spans="1:8" ht="16" x14ac:dyDescent="0.2">
      <c r="A41" s="32"/>
      <c r="B41" s="26">
        <v>0</v>
      </c>
      <c r="C41" s="26">
        <f t="shared" ref="C41:D41" si="38">B41*(1+$B$1)</f>
        <v>0</v>
      </c>
      <c r="D41" s="26">
        <f t="shared" si="38"/>
        <v>0</v>
      </c>
      <c r="E41" s="27">
        <v>0</v>
      </c>
      <c r="F41" s="29">
        <f t="shared" si="0"/>
        <v>0</v>
      </c>
      <c r="G41" s="29">
        <f t="shared" si="1"/>
        <v>0</v>
      </c>
      <c r="H41" s="29">
        <f t="shared" si="2"/>
        <v>0</v>
      </c>
    </row>
    <row r="42" spans="1:8" ht="16" x14ac:dyDescent="0.2">
      <c r="A42" s="32"/>
      <c r="B42" s="26">
        <v>0</v>
      </c>
      <c r="C42" s="26">
        <f t="shared" ref="C42:D42" si="39">B42*(1+$B$1)</f>
        <v>0</v>
      </c>
      <c r="D42" s="26">
        <f t="shared" si="39"/>
        <v>0</v>
      </c>
      <c r="E42" s="27">
        <v>0</v>
      </c>
      <c r="F42" s="29">
        <f t="shared" si="0"/>
        <v>0</v>
      </c>
      <c r="G42" s="29">
        <f t="shared" si="1"/>
        <v>0</v>
      </c>
      <c r="H42" s="29">
        <f t="shared" si="2"/>
        <v>0</v>
      </c>
    </row>
    <row r="43" spans="1:8" ht="16" x14ac:dyDescent="0.2">
      <c r="A43" s="32"/>
      <c r="B43" s="26">
        <v>0</v>
      </c>
      <c r="C43" s="26">
        <f t="shared" ref="C43:D43" si="40">B43*(1+$B$1)</f>
        <v>0</v>
      </c>
      <c r="D43" s="26">
        <f t="shared" si="40"/>
        <v>0</v>
      </c>
      <c r="E43" s="27">
        <v>0</v>
      </c>
      <c r="F43" s="29">
        <f t="shared" si="0"/>
        <v>0</v>
      </c>
      <c r="G43" s="29">
        <f t="shared" si="1"/>
        <v>0</v>
      </c>
      <c r="H43" s="29">
        <f t="shared" si="2"/>
        <v>0</v>
      </c>
    </row>
    <row r="44" spans="1:8" ht="16" x14ac:dyDescent="0.2">
      <c r="A44" s="32"/>
      <c r="B44" s="26">
        <v>0</v>
      </c>
      <c r="C44" s="26">
        <f t="shared" ref="C44:D44" si="41">B44*(1+$B$1)</f>
        <v>0</v>
      </c>
      <c r="D44" s="26">
        <f t="shared" si="41"/>
        <v>0</v>
      </c>
      <c r="E44" s="27">
        <v>0</v>
      </c>
      <c r="F44" s="29">
        <f t="shared" si="0"/>
        <v>0</v>
      </c>
      <c r="G44" s="29">
        <f t="shared" si="1"/>
        <v>0</v>
      </c>
      <c r="H44" s="29">
        <f t="shared" si="2"/>
        <v>0</v>
      </c>
    </row>
  </sheetData>
  <autoFilter ref="A4:B35" xr:uid="{27B93791-1C94-487D-94BF-E0E8710A4D74}"/>
  <mergeCells count="2">
    <mergeCell ref="F3:H3"/>
    <mergeCell ref="B3:D3"/>
  </mergeCells>
  <pageMargins left="0.7" right="0.7" top="0.75" bottom="0.75" header="0.3" footer="0.3"/>
  <pageSetup orientation="portrait" horizontalDpi="1200" verticalDpi="1200" r:id="rId1"/>
  <headerFooter>
    <oddFooter>&amp;C_x000D_&amp;1#&amp;"Calibri"&amp;14&amp;K000000 SBU - CONTRACTING AND ACQUISITIONS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A136-66A1-4C41-B86E-1C2A6AE6B277}">
  <dimension ref="B1:G62"/>
  <sheetViews>
    <sheetView workbookViewId="0">
      <selection activeCell="C59" sqref="C59"/>
    </sheetView>
  </sheetViews>
  <sheetFormatPr baseColWidth="10" defaultColWidth="8.83203125" defaultRowHeight="15" x14ac:dyDescent="0.2"/>
  <cols>
    <col min="2" max="2" width="9.1640625" style="52"/>
    <col min="3" max="3" width="31.1640625" style="54" customWidth="1"/>
    <col min="4" max="4" width="8.6640625" bestFit="1" customWidth="1"/>
    <col min="5" max="5" width="8.83203125" customWidth="1"/>
    <col min="6" max="6" width="19.6640625" customWidth="1"/>
    <col min="7" max="7" width="16.5" customWidth="1"/>
  </cols>
  <sheetData>
    <row r="1" spans="2:7" ht="15.75" customHeight="1" thickBot="1" x14ac:dyDescent="0.25">
      <c r="B1" s="77" t="s">
        <v>10</v>
      </c>
      <c r="C1" s="78"/>
      <c r="D1" s="78"/>
      <c r="E1" s="78"/>
      <c r="F1" s="78"/>
      <c r="G1" s="79"/>
    </row>
    <row r="2" spans="2:7" ht="14.5" customHeight="1" x14ac:dyDescent="0.2">
      <c r="B2" s="75" t="s">
        <v>11</v>
      </c>
      <c r="C2" s="80" t="s">
        <v>12</v>
      </c>
      <c r="D2" s="75" t="s">
        <v>13</v>
      </c>
      <c r="E2" s="82" t="s">
        <v>14</v>
      </c>
      <c r="F2" s="82" t="s">
        <v>15</v>
      </c>
      <c r="G2" s="82" t="s">
        <v>16</v>
      </c>
    </row>
    <row r="3" spans="2:7" x14ac:dyDescent="0.2">
      <c r="B3" s="76"/>
      <c r="C3" s="81"/>
      <c r="D3" s="76"/>
      <c r="E3" s="83"/>
      <c r="F3" s="83"/>
      <c r="G3" s="83"/>
    </row>
    <row r="4" spans="2:7" x14ac:dyDescent="0.2">
      <c r="B4" s="72">
        <v>1</v>
      </c>
      <c r="C4" s="53" t="s">
        <v>17</v>
      </c>
      <c r="D4" s="46">
        <v>1</v>
      </c>
      <c r="E4" s="45" t="s">
        <v>18</v>
      </c>
      <c r="F4" s="47">
        <v>0</v>
      </c>
      <c r="G4" s="48">
        <f>F4*D4</f>
        <v>0</v>
      </c>
    </row>
    <row r="5" spans="2:7" x14ac:dyDescent="0.2">
      <c r="B5" s="73"/>
      <c r="C5" s="53" t="s">
        <v>19</v>
      </c>
      <c r="D5" s="46">
        <v>1</v>
      </c>
      <c r="E5" s="45" t="s">
        <v>18</v>
      </c>
      <c r="F5" s="47">
        <v>0</v>
      </c>
      <c r="G5" s="48">
        <f t="shared" ref="G5:G15" si="0">F5*D5</f>
        <v>0</v>
      </c>
    </row>
    <row r="6" spans="2:7" x14ac:dyDescent="0.2">
      <c r="B6" s="73"/>
      <c r="C6" s="53" t="s">
        <v>20</v>
      </c>
      <c r="D6" s="46">
        <v>1</v>
      </c>
      <c r="E6" s="45" t="s">
        <v>18</v>
      </c>
      <c r="F6" s="47">
        <v>0</v>
      </c>
      <c r="G6" s="48">
        <f t="shared" si="0"/>
        <v>0</v>
      </c>
    </row>
    <row r="7" spans="2:7" x14ac:dyDescent="0.2">
      <c r="B7" s="74"/>
      <c r="C7" s="53" t="s">
        <v>21</v>
      </c>
      <c r="D7" s="46">
        <v>1</v>
      </c>
      <c r="E7" s="45" t="s">
        <v>18</v>
      </c>
      <c r="F7" s="47">
        <v>0</v>
      </c>
      <c r="G7" s="48">
        <f t="shared" si="0"/>
        <v>0</v>
      </c>
    </row>
    <row r="8" spans="2:7" ht="30" x14ac:dyDescent="0.2">
      <c r="B8" s="51">
        <v>2</v>
      </c>
      <c r="C8" s="53" t="s">
        <v>22</v>
      </c>
      <c r="D8" s="46">
        <v>1</v>
      </c>
      <c r="E8" s="45" t="s">
        <v>23</v>
      </c>
      <c r="F8" s="47">
        <v>0</v>
      </c>
      <c r="G8" s="48">
        <f t="shared" si="0"/>
        <v>0</v>
      </c>
    </row>
    <row r="9" spans="2:7" x14ac:dyDescent="0.2">
      <c r="B9" s="51">
        <v>3</v>
      </c>
      <c r="C9" s="53" t="s">
        <v>24</v>
      </c>
      <c r="D9" s="46">
        <v>1</v>
      </c>
      <c r="E9" s="45" t="s">
        <v>25</v>
      </c>
      <c r="F9" s="48">
        <v>50000</v>
      </c>
      <c r="G9" s="48">
        <f t="shared" si="0"/>
        <v>50000</v>
      </c>
    </row>
    <row r="10" spans="2:7" ht="16" thickBot="1" x14ac:dyDescent="0.25">
      <c r="B10" s="51">
        <v>4</v>
      </c>
      <c r="C10" s="53" t="s">
        <v>26</v>
      </c>
      <c r="D10" s="46">
        <v>1</v>
      </c>
      <c r="E10" s="45" t="s">
        <v>25</v>
      </c>
      <c r="F10" s="48">
        <v>10000</v>
      </c>
      <c r="G10" s="48">
        <f t="shared" ref="G10" si="1">F10*D10</f>
        <v>10000</v>
      </c>
    </row>
    <row r="11" spans="2:7" ht="31" thickBot="1" x14ac:dyDescent="0.25">
      <c r="B11" s="51">
        <v>5</v>
      </c>
      <c r="C11" s="53" t="s">
        <v>27</v>
      </c>
      <c r="D11" s="58" t="s">
        <v>80</v>
      </c>
      <c r="E11" s="45" t="s">
        <v>23</v>
      </c>
      <c r="F11" s="59" t="s">
        <v>80</v>
      </c>
      <c r="G11" s="48">
        <f>SUM(G12:G15)</f>
        <v>0</v>
      </c>
    </row>
    <row r="12" spans="2:7" ht="31" thickBot="1" x14ac:dyDescent="0.25">
      <c r="B12" s="46" t="s">
        <v>28</v>
      </c>
      <c r="C12" s="53" t="s">
        <v>29</v>
      </c>
      <c r="D12" s="46">
        <v>52</v>
      </c>
      <c r="E12" s="45" t="s">
        <v>18</v>
      </c>
      <c r="F12" s="48">
        <v>0</v>
      </c>
      <c r="G12" s="48">
        <f t="shared" si="0"/>
        <v>0</v>
      </c>
    </row>
    <row r="13" spans="2:7" ht="16" thickBot="1" x14ac:dyDescent="0.25">
      <c r="B13" s="46" t="s">
        <v>30</v>
      </c>
      <c r="C13" s="53" t="s">
        <v>31</v>
      </c>
      <c r="D13" s="46">
        <v>52</v>
      </c>
      <c r="E13" s="45" t="s">
        <v>18</v>
      </c>
      <c r="F13" s="48">
        <v>0</v>
      </c>
      <c r="G13" s="48">
        <f t="shared" si="0"/>
        <v>0</v>
      </c>
    </row>
    <row r="14" spans="2:7" ht="16" thickBot="1" x14ac:dyDescent="0.25">
      <c r="B14" s="46" t="s">
        <v>32</v>
      </c>
      <c r="C14" s="53" t="s">
        <v>33</v>
      </c>
      <c r="D14" s="46">
        <v>52</v>
      </c>
      <c r="E14" s="45" t="s">
        <v>18</v>
      </c>
      <c r="F14" s="48">
        <v>0</v>
      </c>
      <c r="G14" s="48">
        <f t="shared" si="0"/>
        <v>0</v>
      </c>
    </row>
    <row r="15" spans="2:7" ht="16" thickBot="1" x14ac:dyDescent="0.25">
      <c r="B15" s="46" t="s">
        <v>34</v>
      </c>
      <c r="C15" s="53" t="s">
        <v>35</v>
      </c>
      <c r="D15" s="46">
        <v>52</v>
      </c>
      <c r="E15" s="45" t="s">
        <v>18</v>
      </c>
      <c r="F15" s="48">
        <v>0</v>
      </c>
      <c r="G15" s="48">
        <f t="shared" si="0"/>
        <v>0</v>
      </c>
    </row>
    <row r="16" spans="2:7" ht="16" thickBot="1" x14ac:dyDescent="0.25">
      <c r="B16" s="55"/>
      <c r="C16" s="56" t="s">
        <v>81</v>
      </c>
      <c r="D16" s="62" t="s">
        <v>80</v>
      </c>
      <c r="E16" s="58" t="s">
        <v>80</v>
      </c>
      <c r="F16" s="58" t="s">
        <v>80</v>
      </c>
      <c r="G16" s="57">
        <f>SUM(G4:G11)</f>
        <v>60000</v>
      </c>
    </row>
    <row r="19" spans="2:7" ht="16" thickBot="1" x14ac:dyDescent="0.25"/>
    <row r="20" spans="2:7" ht="15" customHeight="1" thickBot="1" x14ac:dyDescent="0.25">
      <c r="B20" s="77" t="s">
        <v>36</v>
      </c>
      <c r="C20" s="78"/>
      <c r="D20" s="78"/>
      <c r="E20" s="78"/>
      <c r="F20" s="78"/>
      <c r="G20" s="79"/>
    </row>
    <row r="21" spans="2:7" x14ac:dyDescent="0.2">
      <c r="B21" s="75" t="s">
        <v>11</v>
      </c>
      <c r="C21" s="80" t="s">
        <v>12</v>
      </c>
      <c r="D21" s="75" t="s">
        <v>13</v>
      </c>
      <c r="E21" s="82" t="s">
        <v>14</v>
      </c>
      <c r="F21" s="82" t="s">
        <v>15</v>
      </c>
      <c r="G21" s="82" t="s">
        <v>16</v>
      </c>
    </row>
    <row r="22" spans="2:7" x14ac:dyDescent="0.2">
      <c r="B22" s="76"/>
      <c r="C22" s="81"/>
      <c r="D22" s="76"/>
      <c r="E22" s="83"/>
      <c r="F22" s="83"/>
      <c r="G22" s="83"/>
    </row>
    <row r="23" spans="2:7" x14ac:dyDescent="0.2">
      <c r="B23" s="72">
        <v>1001</v>
      </c>
      <c r="C23" s="53" t="s">
        <v>17</v>
      </c>
      <c r="D23" s="46">
        <v>1</v>
      </c>
      <c r="E23" s="45" t="s">
        <v>18</v>
      </c>
      <c r="F23" s="47">
        <v>0</v>
      </c>
      <c r="G23" s="48">
        <f>F23*D23</f>
        <v>0</v>
      </c>
    </row>
    <row r="24" spans="2:7" x14ac:dyDescent="0.2">
      <c r="B24" s="73"/>
      <c r="C24" s="53" t="s">
        <v>19</v>
      </c>
      <c r="D24" s="46">
        <v>1</v>
      </c>
      <c r="E24" s="45" t="s">
        <v>18</v>
      </c>
      <c r="F24" s="47">
        <v>0</v>
      </c>
      <c r="G24" s="48">
        <f t="shared" ref="G24:G34" si="2">F24*D24</f>
        <v>0</v>
      </c>
    </row>
    <row r="25" spans="2:7" ht="15" customHeight="1" x14ac:dyDescent="0.2">
      <c r="B25" s="73"/>
      <c r="C25" s="53" t="s">
        <v>20</v>
      </c>
      <c r="D25" s="46">
        <v>1</v>
      </c>
      <c r="E25" s="45" t="s">
        <v>18</v>
      </c>
      <c r="F25" s="47">
        <v>0</v>
      </c>
      <c r="G25" s="48">
        <f t="shared" si="2"/>
        <v>0</v>
      </c>
    </row>
    <row r="26" spans="2:7" x14ac:dyDescent="0.2">
      <c r="B26" s="74"/>
      <c r="C26" s="53" t="s">
        <v>21</v>
      </c>
      <c r="D26" s="46">
        <v>1</v>
      </c>
      <c r="E26" s="45" t="s">
        <v>18</v>
      </c>
      <c r="F26" s="47">
        <v>0</v>
      </c>
      <c r="G26" s="48">
        <f t="shared" si="2"/>
        <v>0</v>
      </c>
    </row>
    <row r="27" spans="2:7" ht="30" x14ac:dyDescent="0.2">
      <c r="B27" s="51">
        <v>1002</v>
      </c>
      <c r="C27" s="53" t="s">
        <v>22</v>
      </c>
      <c r="D27" s="46">
        <v>1</v>
      </c>
      <c r="E27" s="45" t="s">
        <v>23</v>
      </c>
      <c r="F27" s="47">
        <v>0</v>
      </c>
      <c r="G27" s="48">
        <f t="shared" si="2"/>
        <v>0</v>
      </c>
    </row>
    <row r="28" spans="2:7" x14ac:dyDescent="0.2">
      <c r="B28" s="51">
        <v>1003</v>
      </c>
      <c r="C28" s="53" t="s">
        <v>24</v>
      </c>
      <c r="D28" s="46">
        <v>1</v>
      </c>
      <c r="E28" s="45" t="s">
        <v>25</v>
      </c>
      <c r="F28" s="48">
        <v>50000</v>
      </c>
      <c r="G28" s="48">
        <f t="shared" si="2"/>
        <v>50000</v>
      </c>
    </row>
    <row r="29" spans="2:7" ht="16" thickBot="1" x14ac:dyDescent="0.25">
      <c r="B29" s="51">
        <v>1004</v>
      </c>
      <c r="C29" s="53" t="s">
        <v>26</v>
      </c>
      <c r="D29" s="46">
        <v>1</v>
      </c>
      <c r="E29" s="45" t="s">
        <v>25</v>
      </c>
      <c r="F29" s="48">
        <v>10000</v>
      </c>
      <c r="G29" s="48">
        <f t="shared" ref="G29" si="3">F29*D29</f>
        <v>10000</v>
      </c>
    </row>
    <row r="30" spans="2:7" ht="31" thickBot="1" x14ac:dyDescent="0.25">
      <c r="B30" s="51">
        <v>1005</v>
      </c>
      <c r="C30" s="53" t="s">
        <v>27</v>
      </c>
      <c r="D30" s="58" t="s">
        <v>80</v>
      </c>
      <c r="E30" s="45" t="s">
        <v>23</v>
      </c>
      <c r="F30" s="59" t="s">
        <v>80</v>
      </c>
      <c r="G30" s="48">
        <f>SUM(G31:G34)</f>
        <v>0</v>
      </c>
    </row>
    <row r="31" spans="2:7" ht="31" thickBot="1" x14ac:dyDescent="0.25">
      <c r="B31" s="46" t="s">
        <v>37</v>
      </c>
      <c r="C31" s="53" t="s">
        <v>29</v>
      </c>
      <c r="D31" s="46">
        <v>52</v>
      </c>
      <c r="E31" s="45" t="s">
        <v>18</v>
      </c>
      <c r="F31" s="48">
        <v>0</v>
      </c>
      <c r="G31" s="48">
        <f t="shared" si="2"/>
        <v>0</v>
      </c>
    </row>
    <row r="32" spans="2:7" ht="16" thickBot="1" x14ac:dyDescent="0.25">
      <c r="B32" s="46" t="s">
        <v>38</v>
      </c>
      <c r="C32" s="53" t="s">
        <v>31</v>
      </c>
      <c r="D32" s="46">
        <v>52</v>
      </c>
      <c r="E32" s="45" t="s">
        <v>18</v>
      </c>
      <c r="F32" s="48">
        <v>0</v>
      </c>
      <c r="G32" s="48">
        <f t="shared" si="2"/>
        <v>0</v>
      </c>
    </row>
    <row r="33" spans="2:7" ht="16" thickBot="1" x14ac:dyDescent="0.25">
      <c r="B33" s="46" t="s">
        <v>39</v>
      </c>
      <c r="C33" s="53" t="s">
        <v>33</v>
      </c>
      <c r="D33" s="46">
        <v>52</v>
      </c>
      <c r="E33" s="45" t="s">
        <v>18</v>
      </c>
      <c r="F33" s="48">
        <v>0</v>
      </c>
      <c r="G33" s="48">
        <f t="shared" si="2"/>
        <v>0</v>
      </c>
    </row>
    <row r="34" spans="2:7" ht="16" thickBot="1" x14ac:dyDescent="0.25">
      <c r="B34" s="46" t="s">
        <v>40</v>
      </c>
      <c r="C34" s="53" t="s">
        <v>35</v>
      </c>
      <c r="D34" s="46">
        <v>52</v>
      </c>
      <c r="E34" s="45" t="s">
        <v>18</v>
      </c>
      <c r="F34" s="48">
        <v>0</v>
      </c>
      <c r="G34" s="48">
        <f t="shared" si="2"/>
        <v>0</v>
      </c>
    </row>
    <row r="35" spans="2:7" ht="16" thickBot="1" x14ac:dyDescent="0.25">
      <c r="B35" s="55"/>
      <c r="C35" s="56" t="s">
        <v>82</v>
      </c>
      <c r="D35" s="62" t="s">
        <v>80</v>
      </c>
      <c r="E35" s="58" t="s">
        <v>80</v>
      </c>
      <c r="F35" s="58" t="s">
        <v>80</v>
      </c>
      <c r="G35" s="57">
        <f>SUM(G23:G30)</f>
        <v>60000</v>
      </c>
    </row>
    <row r="37" spans="2:7" ht="16" thickBot="1" x14ac:dyDescent="0.25"/>
    <row r="38" spans="2:7" ht="16" thickBot="1" x14ac:dyDescent="0.25">
      <c r="B38" s="77" t="s">
        <v>41</v>
      </c>
      <c r="C38" s="78"/>
      <c r="D38" s="78"/>
      <c r="E38" s="78"/>
      <c r="F38" s="78"/>
      <c r="G38" s="79"/>
    </row>
    <row r="39" spans="2:7" x14ac:dyDescent="0.2">
      <c r="B39" s="75" t="s">
        <v>11</v>
      </c>
      <c r="C39" s="80" t="s">
        <v>12</v>
      </c>
      <c r="D39" s="75" t="s">
        <v>13</v>
      </c>
      <c r="E39" s="82" t="s">
        <v>14</v>
      </c>
      <c r="F39" s="82" t="s">
        <v>15</v>
      </c>
      <c r="G39" s="82" t="s">
        <v>16</v>
      </c>
    </row>
    <row r="40" spans="2:7" ht="16" thickBot="1" x14ac:dyDescent="0.25">
      <c r="B40" s="84"/>
      <c r="C40" s="85"/>
      <c r="D40" s="84"/>
      <c r="E40" s="86"/>
      <c r="F40" s="86"/>
      <c r="G40" s="86"/>
    </row>
    <row r="41" spans="2:7" ht="16" thickBot="1" x14ac:dyDescent="0.25">
      <c r="B41" s="72">
        <v>2001</v>
      </c>
      <c r="C41" s="53" t="s">
        <v>17</v>
      </c>
      <c r="D41" s="49">
        <v>1</v>
      </c>
      <c r="E41" s="44" t="s">
        <v>18</v>
      </c>
      <c r="F41" s="47">
        <v>0</v>
      </c>
      <c r="G41" s="50">
        <f>F41*D41</f>
        <v>0</v>
      </c>
    </row>
    <row r="42" spans="2:7" ht="16" thickBot="1" x14ac:dyDescent="0.25">
      <c r="B42" s="73"/>
      <c r="C42" s="53" t="s">
        <v>19</v>
      </c>
      <c r="D42" s="46">
        <v>1</v>
      </c>
      <c r="E42" s="44" t="s">
        <v>18</v>
      </c>
      <c r="F42" s="47">
        <v>0</v>
      </c>
      <c r="G42" s="48">
        <f t="shared" ref="G42:G52" si="4">F42*D42</f>
        <v>0</v>
      </c>
    </row>
    <row r="43" spans="2:7" ht="16" thickBot="1" x14ac:dyDescent="0.25">
      <c r="B43" s="73"/>
      <c r="C43" s="53" t="s">
        <v>20</v>
      </c>
      <c r="D43" s="46">
        <v>1</v>
      </c>
      <c r="E43" s="44" t="s">
        <v>18</v>
      </c>
      <c r="F43" s="47">
        <v>0</v>
      </c>
      <c r="G43" s="48">
        <f t="shared" si="4"/>
        <v>0</v>
      </c>
    </row>
    <row r="44" spans="2:7" ht="16" thickBot="1" x14ac:dyDescent="0.25">
      <c r="B44" s="74"/>
      <c r="C44" s="53" t="s">
        <v>21</v>
      </c>
      <c r="D44" s="46">
        <v>1</v>
      </c>
      <c r="E44" s="44" t="s">
        <v>18</v>
      </c>
      <c r="F44" s="47">
        <v>0</v>
      </c>
      <c r="G44" s="48">
        <f t="shared" si="4"/>
        <v>0</v>
      </c>
    </row>
    <row r="45" spans="2:7" ht="31" thickBot="1" x14ac:dyDescent="0.25">
      <c r="B45" s="51">
        <v>2002</v>
      </c>
      <c r="C45" s="53" t="s">
        <v>22</v>
      </c>
      <c r="D45" s="46">
        <v>1</v>
      </c>
      <c r="E45" s="45" t="s">
        <v>23</v>
      </c>
      <c r="F45" s="47">
        <v>0</v>
      </c>
      <c r="G45" s="48">
        <f t="shared" si="4"/>
        <v>0</v>
      </c>
    </row>
    <row r="46" spans="2:7" ht="16" thickBot="1" x14ac:dyDescent="0.25">
      <c r="B46" s="51">
        <v>2003</v>
      </c>
      <c r="C46" s="53" t="s">
        <v>24</v>
      </c>
      <c r="D46" s="46">
        <v>1</v>
      </c>
      <c r="E46" s="45" t="s">
        <v>25</v>
      </c>
      <c r="F46" s="48">
        <v>50000</v>
      </c>
      <c r="G46" s="48">
        <f t="shared" si="4"/>
        <v>50000</v>
      </c>
    </row>
    <row r="47" spans="2:7" ht="16" thickBot="1" x14ac:dyDescent="0.25">
      <c r="B47" s="51">
        <v>2004</v>
      </c>
      <c r="C47" s="53" t="s">
        <v>26</v>
      </c>
      <c r="D47" s="46">
        <v>1</v>
      </c>
      <c r="E47" s="45" t="s">
        <v>25</v>
      </c>
      <c r="F47" s="48">
        <v>10000</v>
      </c>
      <c r="G47" s="48">
        <f t="shared" ref="G47" si="5">F47*D47</f>
        <v>10000</v>
      </c>
    </row>
    <row r="48" spans="2:7" ht="31" thickBot="1" x14ac:dyDescent="0.25">
      <c r="B48" s="51">
        <v>2005</v>
      </c>
      <c r="C48" s="53" t="s">
        <v>27</v>
      </c>
      <c r="D48" s="58" t="s">
        <v>80</v>
      </c>
      <c r="E48" s="45" t="s">
        <v>23</v>
      </c>
      <c r="F48" s="59" t="s">
        <v>80</v>
      </c>
      <c r="G48" s="48">
        <f>SUM(G49:G52)</f>
        <v>0</v>
      </c>
    </row>
    <row r="49" spans="2:7" ht="31" thickBot="1" x14ac:dyDescent="0.25">
      <c r="B49" s="46" t="s">
        <v>42</v>
      </c>
      <c r="C49" s="53" t="s">
        <v>29</v>
      </c>
      <c r="D49" s="46">
        <v>52</v>
      </c>
      <c r="E49" s="45" t="s">
        <v>18</v>
      </c>
      <c r="F49" s="48">
        <v>0</v>
      </c>
      <c r="G49" s="48">
        <f t="shared" si="4"/>
        <v>0</v>
      </c>
    </row>
    <row r="50" spans="2:7" x14ac:dyDescent="0.2">
      <c r="B50" s="46" t="s">
        <v>43</v>
      </c>
      <c r="C50" s="53" t="s">
        <v>31</v>
      </c>
      <c r="D50" s="46">
        <v>52</v>
      </c>
      <c r="E50" s="45" t="s">
        <v>18</v>
      </c>
      <c r="F50" s="48">
        <v>0</v>
      </c>
      <c r="G50" s="48">
        <f t="shared" si="4"/>
        <v>0</v>
      </c>
    </row>
    <row r="51" spans="2:7" x14ac:dyDescent="0.2">
      <c r="B51" s="46" t="s">
        <v>44</v>
      </c>
      <c r="C51" s="53" t="s">
        <v>33</v>
      </c>
      <c r="D51" s="46">
        <v>52</v>
      </c>
      <c r="E51" s="45" t="s">
        <v>18</v>
      </c>
      <c r="F51" s="48">
        <v>0</v>
      </c>
      <c r="G51" s="48">
        <f t="shared" si="4"/>
        <v>0</v>
      </c>
    </row>
    <row r="52" spans="2:7" ht="16" thickBot="1" x14ac:dyDescent="0.25">
      <c r="B52" s="46" t="s">
        <v>45</v>
      </c>
      <c r="C52" s="53" t="s">
        <v>35</v>
      </c>
      <c r="D52" s="46">
        <v>52</v>
      </c>
      <c r="E52" s="45" t="s">
        <v>18</v>
      </c>
      <c r="F52" s="48">
        <v>0</v>
      </c>
      <c r="G52" s="48">
        <f t="shared" si="4"/>
        <v>0</v>
      </c>
    </row>
    <row r="53" spans="2:7" ht="16" thickBot="1" x14ac:dyDescent="0.25">
      <c r="B53" s="55"/>
      <c r="C53" s="56" t="s">
        <v>83</v>
      </c>
      <c r="D53" s="62" t="s">
        <v>80</v>
      </c>
      <c r="E53" s="58" t="s">
        <v>80</v>
      </c>
      <c r="F53" s="58" t="s">
        <v>80</v>
      </c>
      <c r="G53" s="57">
        <f>SUM(G41:G48)</f>
        <v>60000</v>
      </c>
    </row>
    <row r="56" spans="2:7" ht="16" thickBot="1" x14ac:dyDescent="0.25"/>
    <row r="57" spans="2:7" x14ac:dyDescent="0.2">
      <c r="B57" s="75" t="s">
        <v>84</v>
      </c>
      <c r="C57" s="75" t="s">
        <v>87</v>
      </c>
    </row>
    <row r="58" spans="2:7" x14ac:dyDescent="0.2">
      <c r="B58" s="76"/>
      <c r="C58" s="76"/>
    </row>
    <row r="59" spans="2:7" x14ac:dyDescent="0.2">
      <c r="B59" s="60" t="s">
        <v>88</v>
      </c>
      <c r="C59" s="61">
        <f>G16</f>
        <v>60000</v>
      </c>
    </row>
    <row r="60" spans="2:7" x14ac:dyDescent="0.2">
      <c r="B60" s="60" t="s">
        <v>85</v>
      </c>
      <c r="C60" s="61">
        <f>G35</f>
        <v>60000</v>
      </c>
    </row>
    <row r="61" spans="2:7" x14ac:dyDescent="0.2">
      <c r="B61" s="60" t="s">
        <v>86</v>
      </c>
      <c r="C61" s="61">
        <f>G53</f>
        <v>60000</v>
      </c>
    </row>
    <row r="62" spans="2:7" x14ac:dyDescent="0.2">
      <c r="B62" s="60" t="s">
        <v>79</v>
      </c>
      <c r="C62" s="61">
        <f>SUM(C59:C61)</f>
        <v>180000</v>
      </c>
    </row>
  </sheetData>
  <mergeCells count="26">
    <mergeCell ref="E21:E22"/>
    <mergeCell ref="F21:F22"/>
    <mergeCell ref="G21:G22"/>
    <mergeCell ref="B38:G38"/>
    <mergeCell ref="B39:B40"/>
    <mergeCell ref="C39:C40"/>
    <mergeCell ref="D39:D40"/>
    <mergeCell ref="E39:E40"/>
    <mergeCell ref="F39:F40"/>
    <mergeCell ref="G39:G40"/>
    <mergeCell ref="B4:B7"/>
    <mergeCell ref="B23:B26"/>
    <mergeCell ref="B57:B58"/>
    <mergeCell ref="C57:C58"/>
    <mergeCell ref="B1:G1"/>
    <mergeCell ref="B2:B3"/>
    <mergeCell ref="C2:C3"/>
    <mergeCell ref="D2:D3"/>
    <mergeCell ref="E2:E3"/>
    <mergeCell ref="F2:F3"/>
    <mergeCell ref="G2:G3"/>
    <mergeCell ref="B41:B44"/>
    <mergeCell ref="B20:G20"/>
    <mergeCell ref="B21:B22"/>
    <mergeCell ref="C21:C22"/>
    <mergeCell ref="D21:D22"/>
  </mergeCells>
  <pageMargins left="0.7" right="0.7" top="0.75" bottom="0.75" header="0.3" footer="0.3"/>
  <ignoredErrors>
    <ignoredError sqref="G11 G30 G4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05E3-7FB9-4C90-83F1-E5A594454B02}">
  <sheetPr>
    <tabColor theme="5"/>
    <pageSetUpPr fitToPage="1"/>
  </sheetPr>
  <dimension ref="A1:IV76"/>
  <sheetViews>
    <sheetView showGridLines="0" topLeftCell="A2" zoomScale="90" zoomScaleNormal="90" zoomScalePageLayoutView="125" workbookViewId="0">
      <selection activeCell="H39" sqref="H39"/>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6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t="s">
        <v>91</v>
      </c>
      <c r="B3" s="4" t="s">
        <v>103</v>
      </c>
      <c r="C3" s="16">
        <f>_xlfn.XLOOKUP(A3,'LCATs &amp; Rates'!$A$5:$A$44,'LCATs &amp; Rates'!$F$5:$F$44)</f>
        <v>168</v>
      </c>
      <c r="D3" s="5">
        <v>74</v>
      </c>
      <c r="E3" s="14">
        <f>$C3*$D3</f>
        <v>12432</v>
      </c>
    </row>
    <row r="4" spans="1:256" ht="18" customHeight="1" x14ac:dyDescent="0.2">
      <c r="A4" s="4"/>
      <c r="B4" s="4"/>
      <c r="C4" s="16">
        <f>_xlfn.XLOOKUP(A4,'LCATs &amp; Rates'!$A$5:$A$44,'LCATs &amp; Rates'!$F$5:$F$44)</f>
        <v>0</v>
      </c>
      <c r="D4" s="5"/>
      <c r="E4" s="14">
        <f t="shared" ref="E4:E14" si="0">$C4*$D4</f>
        <v>0</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thickBot="1" x14ac:dyDescent="0.25">
      <c r="A14" s="8"/>
      <c r="B14" s="8"/>
      <c r="C14" s="16">
        <f>_xlfn.XLOOKUP(A14,'LCATs &amp; Rates'!$A$5:$A$44,'LCATs &amp; Rates'!$F$5:$F$44)</f>
        <v>0</v>
      </c>
      <c r="D14" s="5"/>
      <c r="E14" s="14">
        <f t="shared" si="0"/>
        <v>0</v>
      </c>
    </row>
    <row r="15" spans="1:256" ht="18" customHeight="1" thickBot="1" x14ac:dyDescent="0.25">
      <c r="A15" s="9" t="s">
        <v>52</v>
      </c>
      <c r="B15" s="9"/>
      <c r="C15" s="10"/>
      <c r="D15" s="10"/>
      <c r="E15" s="15">
        <f>SUM(E3:E14)</f>
        <v>12432</v>
      </c>
    </row>
    <row r="16" spans="1:256" s="6" customFormat="1" ht="18" customHeight="1" thickBot="1" x14ac:dyDescent="0.25">
      <c r="A16" s="9" t="s">
        <v>53</v>
      </c>
      <c r="E16" s="42">
        <v>1</v>
      </c>
      <c r="IS16" s="7"/>
      <c r="IT16" s="7"/>
      <c r="IU16" s="7"/>
      <c r="IV16" s="7"/>
    </row>
    <row r="17" spans="1:256" s="6" customFormat="1" ht="16.5" customHeight="1" thickBot="1" x14ac:dyDescent="0.25">
      <c r="A17" s="9" t="s">
        <v>54</v>
      </c>
      <c r="E17" s="42">
        <v>26</v>
      </c>
      <c r="IS17" s="7"/>
      <c r="IT17" s="7"/>
      <c r="IU17" s="7"/>
      <c r="IV17" s="7"/>
    </row>
    <row r="18" spans="1:256" s="6" customFormat="1" ht="16.5" customHeight="1" thickBot="1" x14ac:dyDescent="0.25">
      <c r="A18" s="9" t="s">
        <v>55</v>
      </c>
      <c r="E18" s="40">
        <f>E15*E16*E17</f>
        <v>323232</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S20" s="11"/>
      <c r="IT20" s="11"/>
      <c r="IU20" s="11"/>
      <c r="IV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row>
    <row r="22" spans="1:256" s="11" customFormat="1" ht="15" x14ac:dyDescent="0.2">
      <c r="A22" s="13" t="s">
        <v>62</v>
      </c>
      <c r="B22" s="19" t="s">
        <v>24</v>
      </c>
      <c r="C22" s="17">
        <v>1</v>
      </c>
      <c r="D22" s="17" t="s">
        <v>25</v>
      </c>
      <c r="E22" s="18">
        <v>50000</v>
      </c>
      <c r="F22" s="20">
        <f>E22*C22</f>
        <v>50000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row>
    <row r="23" spans="1:256" s="11" customFormat="1" ht="15" x14ac:dyDescent="0.2">
      <c r="A23" s="13" t="s">
        <v>62</v>
      </c>
      <c r="B23" s="19" t="s">
        <v>63</v>
      </c>
      <c r="C23" s="17">
        <v>1</v>
      </c>
      <c r="D23" s="17" t="s">
        <v>25</v>
      </c>
      <c r="E23" s="18">
        <v>10000</v>
      </c>
      <c r="F23" s="20">
        <f>E23*C23</f>
        <v>10000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row>
    <row r="24" spans="1:256" s="11" customFormat="1" ht="16" thickBot="1" x14ac:dyDescent="0.25">
      <c r="A24" s="21"/>
      <c r="B24" s="21"/>
      <c r="C24" s="21"/>
      <c r="D24" s="21"/>
      <c r="E24" s="22" t="s">
        <v>64</v>
      </c>
      <c r="F24" s="23">
        <f>SUM(F22:F23)</f>
        <v>60000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row>
    <row r="27" spans="1:256" ht="18" customHeight="1" x14ac:dyDescent="0.2">
      <c r="A27" s="31" t="s">
        <v>65</v>
      </c>
    </row>
    <row r="28" spans="1:256" ht="18" customHeight="1" x14ac:dyDescent="0.2">
      <c r="A28" s="1" t="s">
        <v>47</v>
      </c>
      <c r="B28" s="1" t="s">
        <v>48</v>
      </c>
      <c r="C28" s="1" t="s">
        <v>49</v>
      </c>
      <c r="D28" s="1" t="s">
        <v>50</v>
      </c>
      <c r="E28" s="1" t="s">
        <v>66</v>
      </c>
    </row>
    <row r="29" spans="1:256" ht="18" customHeight="1" x14ac:dyDescent="0.2">
      <c r="A29" s="4" t="s">
        <v>91</v>
      </c>
      <c r="B29" s="4"/>
      <c r="C29" s="16">
        <f>_xlfn.XLOOKUP(A29,'LCATs &amp; Rates'!$A$5:$A$44,'LCATs &amp; Rates'!$G$5:$G$44)</f>
        <v>171.36</v>
      </c>
      <c r="D29" s="5">
        <v>74</v>
      </c>
      <c r="E29" s="14">
        <f>$C29*$D29</f>
        <v>12680.640000000001</v>
      </c>
    </row>
    <row r="30" spans="1:256" ht="18" customHeight="1" x14ac:dyDescent="0.2">
      <c r="A30" s="4"/>
      <c r="B30" s="4"/>
      <c r="C30" s="16">
        <f>_xlfn.XLOOKUP(A30,'LCATs &amp; Rates'!$A$5:$A$44,'LCATs &amp; Rates'!$G$5:$G$44)</f>
        <v>0</v>
      </c>
      <c r="D30" s="5"/>
      <c r="E30" s="14">
        <f t="shared" ref="E30:E40" si="1">$C30*$D30</f>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thickBot="1" x14ac:dyDescent="0.25">
      <c r="A40" s="8"/>
      <c r="B40" s="8"/>
      <c r="C40" s="16">
        <f>_xlfn.XLOOKUP(A40,'LCATs &amp; Rates'!$A$5:$A$44,'LCATs &amp; Rates'!$G$5:$G$44)</f>
        <v>0</v>
      </c>
      <c r="D40" s="5"/>
      <c r="E40" s="14">
        <f t="shared" si="1"/>
        <v>0</v>
      </c>
    </row>
    <row r="41" spans="1:256" ht="18" customHeight="1" thickBot="1" x14ac:dyDescent="0.25">
      <c r="A41" s="9" t="s">
        <v>52</v>
      </c>
      <c r="B41" s="9"/>
      <c r="C41" s="10"/>
      <c r="D41" s="10"/>
      <c r="E41" s="15">
        <f>SUM(E29:E40)</f>
        <v>12680.640000000001</v>
      </c>
    </row>
    <row r="42" spans="1:256" s="6" customFormat="1" ht="18" customHeight="1" thickBot="1" x14ac:dyDescent="0.25">
      <c r="A42" s="9" t="s">
        <v>53</v>
      </c>
      <c r="E42" s="42">
        <v>1</v>
      </c>
      <c r="IS42" s="7"/>
      <c r="IT42" s="7"/>
      <c r="IU42" s="7"/>
      <c r="IV42" s="7"/>
    </row>
    <row r="43" spans="1:256" s="6" customFormat="1" ht="16.5" customHeight="1" thickBot="1" x14ac:dyDescent="0.25">
      <c r="A43" s="9" t="s">
        <v>54</v>
      </c>
      <c r="E43" s="42">
        <v>26</v>
      </c>
      <c r="IS43" s="7"/>
      <c r="IT43" s="7"/>
      <c r="IU43" s="7"/>
      <c r="IV43" s="7"/>
    </row>
    <row r="44" spans="1:256" s="6" customFormat="1" ht="16.5" customHeight="1" thickBot="1" x14ac:dyDescent="0.25">
      <c r="A44" s="9" t="s">
        <v>67</v>
      </c>
      <c r="E44" s="40">
        <f>E41*E42*E43</f>
        <v>329696.64000000001</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row>
    <row r="47" spans="1:256" ht="15" x14ac:dyDescent="0.2">
      <c r="A47" s="12" t="s">
        <v>57</v>
      </c>
      <c r="B47" s="12" t="s">
        <v>58</v>
      </c>
      <c r="C47" s="12" t="s">
        <v>59</v>
      </c>
      <c r="D47" s="12" t="s">
        <v>14</v>
      </c>
      <c r="E47" s="12" t="s">
        <v>60</v>
      </c>
      <c r="F47" s="12" t="s">
        <v>61</v>
      </c>
    </row>
    <row r="48" spans="1:256" ht="18" customHeight="1" x14ac:dyDescent="0.2">
      <c r="A48" s="13" t="s">
        <v>62</v>
      </c>
      <c r="B48" s="19" t="s">
        <v>24</v>
      </c>
      <c r="C48" s="17">
        <v>1</v>
      </c>
      <c r="D48" s="17" t="s">
        <v>25</v>
      </c>
      <c r="E48" s="18">
        <v>50000</v>
      </c>
      <c r="F48" s="20">
        <f>E48*C48</f>
        <v>50000</v>
      </c>
    </row>
    <row r="49" spans="1:6" ht="15" x14ac:dyDescent="0.2">
      <c r="A49" s="13" t="s">
        <v>62</v>
      </c>
      <c r="B49" s="19" t="s">
        <v>63</v>
      </c>
      <c r="C49" s="17">
        <v>1</v>
      </c>
      <c r="D49" s="17" t="s">
        <v>25</v>
      </c>
      <c r="E49" s="18">
        <v>10000</v>
      </c>
      <c r="F49" s="20">
        <f>E49*C49</f>
        <v>10000</v>
      </c>
    </row>
    <row r="50" spans="1:6" ht="16" thickBot="1" x14ac:dyDescent="0.25">
      <c r="A50" s="21"/>
      <c r="B50" s="21"/>
      <c r="C50" s="21"/>
      <c r="D50" s="21"/>
      <c r="E50" s="22" t="s">
        <v>64</v>
      </c>
      <c r="F50" s="23">
        <f>SUM(F48:F49)</f>
        <v>60000</v>
      </c>
    </row>
    <row r="53" spans="1:6" ht="18" customHeight="1" x14ac:dyDescent="0.2">
      <c r="A53" s="31" t="s">
        <v>68</v>
      </c>
    </row>
    <row r="54" spans="1:6" ht="18" customHeight="1" x14ac:dyDescent="0.2">
      <c r="A54" s="1" t="s">
        <v>47</v>
      </c>
      <c r="B54" s="1" t="s">
        <v>48</v>
      </c>
      <c r="C54" s="1" t="s">
        <v>49</v>
      </c>
      <c r="D54" s="1" t="s">
        <v>50</v>
      </c>
      <c r="E54" s="1" t="s">
        <v>66</v>
      </c>
    </row>
    <row r="55" spans="1:6" ht="18" customHeight="1" x14ac:dyDescent="0.2">
      <c r="A55" s="4" t="s">
        <v>91</v>
      </c>
      <c r="B55" s="4"/>
      <c r="C55" s="16">
        <f>_xlfn.XLOOKUP(A55,'LCATs &amp; Rates'!$A$5:$A$44,'LCATs &amp; Rates'!$H$5:$H$44)</f>
        <v>174.78720000000001</v>
      </c>
      <c r="D55" s="5">
        <v>74</v>
      </c>
      <c r="E55" s="14">
        <f>$C55*$D55</f>
        <v>12934.2528</v>
      </c>
    </row>
    <row r="56" spans="1:6" ht="18" customHeight="1" x14ac:dyDescent="0.2">
      <c r="A56" s="4"/>
      <c r="B56" s="4"/>
      <c r="C56" s="16">
        <f>_xlfn.XLOOKUP(A56,'LCATs &amp; Rates'!$A$5:$A$44,'LCATs &amp; Rates'!$H$5:$H$44)</f>
        <v>0</v>
      </c>
      <c r="D56" s="5"/>
      <c r="E56" s="14">
        <f t="shared" ref="E56:E66" si="2">$C56*$D56</f>
        <v>0</v>
      </c>
    </row>
    <row r="57" spans="1:6" ht="18" customHeight="1" x14ac:dyDescent="0.2">
      <c r="A57" s="4"/>
      <c r="B57" s="4"/>
      <c r="C57" s="16">
        <f>_xlfn.XLOOKUP(A57,'LCATs &amp; Rates'!$A$5:$A$44,'LCATs &amp; Rates'!$H$5:$H$44)</f>
        <v>0</v>
      </c>
      <c r="D57" s="5"/>
      <c r="E57" s="14">
        <f t="shared" si="2"/>
        <v>0</v>
      </c>
    </row>
    <row r="58" spans="1:6" ht="18" customHeight="1" x14ac:dyDescent="0.2">
      <c r="A58" s="4"/>
      <c r="B58" s="4"/>
      <c r="C58" s="16">
        <f>_xlfn.XLOOKUP(A58,'LCATs &amp; Rates'!$A$5:$A$44,'LCATs &amp; Rates'!$H$5:$H$44)</f>
        <v>0</v>
      </c>
      <c r="D58" s="5"/>
      <c r="E58" s="14">
        <f t="shared" si="2"/>
        <v>0</v>
      </c>
    </row>
    <row r="59" spans="1:6" ht="18" customHeight="1" x14ac:dyDescent="0.2">
      <c r="A59" s="4"/>
      <c r="B59" s="4"/>
      <c r="C59" s="16">
        <f>_xlfn.XLOOKUP(A59,'LCATs &amp; Rates'!$A$5:$A$44,'LCATs &amp; Rates'!$H$5:$H$44)</f>
        <v>0</v>
      </c>
      <c r="D59" s="5"/>
      <c r="E59" s="14">
        <f t="shared" si="2"/>
        <v>0</v>
      </c>
    </row>
    <row r="60" spans="1:6" ht="18" customHeight="1" x14ac:dyDescent="0.2">
      <c r="A60" s="4"/>
      <c r="B60" s="4"/>
      <c r="C60" s="16">
        <f>_xlfn.XLOOKUP(A60,'LCATs &amp; Rates'!$A$5:$A$44,'LCATs &amp; Rates'!$H$5:$H$44)</f>
        <v>0</v>
      </c>
      <c r="D60" s="5"/>
      <c r="E60" s="14">
        <f t="shared" si="2"/>
        <v>0</v>
      </c>
    </row>
    <row r="61" spans="1:6" ht="18" customHeight="1" x14ac:dyDescent="0.2">
      <c r="A61" s="4"/>
      <c r="B61" s="4"/>
      <c r="C61" s="16">
        <f>_xlfn.XLOOKUP(A61,'LCATs &amp; Rates'!$A$5:$A$44,'LCATs &amp; Rates'!$H$5:$H$44)</f>
        <v>0</v>
      </c>
      <c r="D61" s="5"/>
      <c r="E61" s="14">
        <f t="shared" si="2"/>
        <v>0</v>
      </c>
    </row>
    <row r="62" spans="1:6" ht="18" customHeight="1" x14ac:dyDescent="0.2">
      <c r="A62" s="4"/>
      <c r="B62" s="4"/>
      <c r="C62" s="16">
        <f>_xlfn.XLOOKUP(A62,'LCATs &amp; Rates'!$A$5:$A$44,'LCATs &amp; Rates'!$H$5:$H$44)</f>
        <v>0</v>
      </c>
      <c r="D62" s="5"/>
      <c r="E62" s="14">
        <f t="shared" si="2"/>
        <v>0</v>
      </c>
    </row>
    <row r="63" spans="1:6" ht="18" customHeight="1" x14ac:dyDescent="0.2">
      <c r="A63" s="8"/>
      <c r="B63" s="8"/>
      <c r="C63" s="16">
        <f>_xlfn.XLOOKUP(A63,'LCATs &amp; Rates'!$A$5:$A$44,'LCATs &amp; Rates'!$H$5:$H$44)</f>
        <v>0</v>
      </c>
      <c r="D63" s="5"/>
      <c r="E63" s="14">
        <f t="shared" si="2"/>
        <v>0</v>
      </c>
    </row>
    <row r="64" spans="1:6" ht="18" customHeight="1" x14ac:dyDescent="0.2">
      <c r="A64" s="8"/>
      <c r="B64" s="8"/>
      <c r="C64" s="16">
        <f>_xlfn.XLOOKUP(A64,'LCATs &amp; Rates'!$A$5:$A$44,'LCATs &amp; Rates'!$H$5:$H$44)</f>
        <v>0</v>
      </c>
      <c r="D64" s="5"/>
      <c r="E64" s="14">
        <f t="shared" si="2"/>
        <v>0</v>
      </c>
    </row>
    <row r="65" spans="1:256" ht="18" customHeight="1" x14ac:dyDescent="0.2">
      <c r="A65" s="8"/>
      <c r="B65" s="8"/>
      <c r="C65" s="16">
        <f>_xlfn.XLOOKUP(A65,'LCATs &amp; Rates'!$A$5:$A$44,'LCATs &amp; Rates'!$H$5:$H$44)</f>
        <v>0</v>
      </c>
      <c r="D65" s="5"/>
      <c r="E65" s="14">
        <f t="shared" si="2"/>
        <v>0</v>
      </c>
    </row>
    <row r="66" spans="1:256" ht="18" customHeight="1" thickBot="1" x14ac:dyDescent="0.25">
      <c r="A66" s="8"/>
      <c r="B66" s="8"/>
      <c r="C66" s="16">
        <f>_xlfn.XLOOKUP(A66,'LCATs &amp; Rates'!$A$5:$A$44,'LCATs &amp; Rates'!$H$5:$H$44)</f>
        <v>0</v>
      </c>
      <c r="D66" s="5"/>
      <c r="E66" s="14">
        <f t="shared" si="2"/>
        <v>0</v>
      </c>
    </row>
    <row r="67" spans="1:256" ht="18" customHeight="1" thickBot="1" x14ac:dyDescent="0.25">
      <c r="A67" s="9" t="s">
        <v>52</v>
      </c>
      <c r="B67" s="9"/>
      <c r="C67" s="10"/>
      <c r="D67" s="10"/>
      <c r="E67" s="15">
        <f>SUM(E55:E66)</f>
        <v>12934.2528</v>
      </c>
    </row>
    <row r="68" spans="1:256" s="6" customFormat="1" ht="18" customHeight="1" thickBot="1" x14ac:dyDescent="0.25">
      <c r="A68" s="9" t="s">
        <v>53</v>
      </c>
      <c r="E68" s="42">
        <v>1</v>
      </c>
      <c r="IS68" s="7"/>
      <c r="IT68" s="7"/>
      <c r="IU68" s="7"/>
      <c r="IV68" s="7"/>
    </row>
    <row r="69" spans="1:256" s="6" customFormat="1" ht="16.5" customHeight="1" thickBot="1" x14ac:dyDescent="0.25">
      <c r="A69" s="9" t="s">
        <v>54</v>
      </c>
      <c r="E69" s="42">
        <v>26</v>
      </c>
      <c r="IS69" s="7"/>
      <c r="IT69" s="7"/>
      <c r="IU69" s="7"/>
      <c r="IV69" s="7"/>
    </row>
    <row r="70" spans="1:256" s="6" customFormat="1" ht="16.5" customHeight="1" thickBot="1" x14ac:dyDescent="0.25">
      <c r="A70" s="9" t="s">
        <v>69</v>
      </c>
      <c r="E70" s="40">
        <f>E67*E68*E69</f>
        <v>336290.57280000002</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row>
    <row r="73" spans="1:256" ht="15" x14ac:dyDescent="0.2">
      <c r="A73" s="12" t="s">
        <v>57</v>
      </c>
      <c r="B73" s="12" t="s">
        <v>58</v>
      </c>
      <c r="C73" s="12" t="s">
        <v>59</v>
      </c>
      <c r="D73" s="12" t="s">
        <v>14</v>
      </c>
      <c r="E73" s="12" t="s">
        <v>60</v>
      </c>
      <c r="F73" s="12" t="s">
        <v>61</v>
      </c>
    </row>
    <row r="74" spans="1:256" ht="18" customHeight="1" x14ac:dyDescent="0.2">
      <c r="A74" s="13" t="s">
        <v>62</v>
      </c>
      <c r="B74" s="19" t="s">
        <v>24</v>
      </c>
      <c r="C74" s="17">
        <v>1</v>
      </c>
      <c r="D74" s="17" t="s">
        <v>25</v>
      </c>
      <c r="E74" s="18">
        <v>50000</v>
      </c>
      <c r="F74" s="20">
        <f>E74*C74</f>
        <v>50000</v>
      </c>
    </row>
    <row r="75" spans="1:256" ht="15" x14ac:dyDescent="0.2">
      <c r="A75" s="13" t="s">
        <v>62</v>
      </c>
      <c r="B75" s="19" t="s">
        <v>63</v>
      </c>
      <c r="C75" s="17">
        <v>1</v>
      </c>
      <c r="D75" s="17" t="s">
        <v>25</v>
      </c>
      <c r="E75" s="18">
        <v>10000</v>
      </c>
      <c r="F75" s="20">
        <f>E75*C75</f>
        <v>10000</v>
      </c>
    </row>
    <row r="76" spans="1:256" ht="16" thickBot="1" x14ac:dyDescent="0.25">
      <c r="A76" s="21"/>
      <c r="B76" s="21"/>
      <c r="C76" s="21"/>
      <c r="D76" s="21"/>
      <c r="E76" s="22" t="s">
        <v>64</v>
      </c>
      <c r="F76" s="23">
        <f>SUM(F74:F75)</f>
        <v>60000</v>
      </c>
    </row>
  </sheetData>
  <autoFilter ref="A2:E15" xr:uid="{B9DFE324-DC59-4577-B881-6DD96FBF83DE}"/>
  <pageMargins left="0.5" right="0.5" top="0.75" bottom="0.75" header="0.27777800000000002" footer="0.27777800000000002"/>
  <pageSetup orientation="portrait" r:id="rId1"/>
  <headerFooter>
    <oddFooter>&amp;C&amp;"Helvetica,Regular"&amp;12&amp;K000000&amp;P_x000D_&amp;1#&amp;"Calibri"&amp;14&amp;K000000 SBU - CONTRACTING AND ACQUISITIONS</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A86E2A7-E9B5-479D-BD0D-12067AF91673}">
          <x14:formula1>
            <xm:f>'LCATs &amp; Rates'!$A$5:$A$35</xm:f>
          </x14:formula1>
          <xm:sqref>A3:A14 A29:A40 A55:A66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E4FF-B6BA-43F2-AE32-28E17A2CFFB6}">
  <sheetPr>
    <tabColor theme="5"/>
    <pageSetUpPr fitToPage="1"/>
  </sheetPr>
  <dimension ref="A1:IV76"/>
  <sheetViews>
    <sheetView showGridLines="0" zoomScale="105" zoomScaleNormal="145" zoomScalePageLayoutView="125" workbookViewId="0">
      <selection activeCell="G25" sqref="G25"/>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63.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t="s">
        <v>91</v>
      </c>
      <c r="B3" s="4"/>
      <c r="C3" s="16">
        <f>_xlfn.XLOOKUP(A3,'LCATs &amp; Rates'!$A$5:$A$44,'LCATs &amp; Rates'!$F$5:$F$44)</f>
        <v>168</v>
      </c>
      <c r="D3" s="5">
        <v>74</v>
      </c>
      <c r="E3" s="14">
        <f>$C3*$D3</f>
        <v>12432</v>
      </c>
    </row>
    <row r="4" spans="1:256" ht="18" customHeight="1" x14ac:dyDescent="0.2">
      <c r="A4" s="4" t="s">
        <v>92</v>
      </c>
      <c r="B4" s="4"/>
      <c r="C4" s="16">
        <f>_xlfn.XLOOKUP(A4,'LCATs &amp; Rates'!$A$5:$A$44,'LCATs &amp; Rates'!$F$5:$F$44)</f>
        <v>168.35</v>
      </c>
      <c r="D4" s="5">
        <v>74</v>
      </c>
      <c r="E4" s="14">
        <f t="shared" ref="E4:E14" si="0">$C4*$D4</f>
        <v>12457.9</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thickBot="1" x14ac:dyDescent="0.25">
      <c r="A14" s="8"/>
      <c r="B14" s="8"/>
      <c r="C14" s="16">
        <f>_xlfn.XLOOKUP(A14,'LCATs &amp; Rates'!$A$5:$A$44,'LCATs &amp; Rates'!$F$5:$F$44)</f>
        <v>0</v>
      </c>
      <c r="D14" s="5"/>
      <c r="E14" s="14">
        <f t="shared" si="0"/>
        <v>0</v>
      </c>
    </row>
    <row r="15" spans="1:256" ht="18" customHeight="1" thickBot="1" x14ac:dyDescent="0.25">
      <c r="A15" s="9" t="s">
        <v>52</v>
      </c>
      <c r="B15" s="9"/>
      <c r="C15" s="10"/>
      <c r="D15" s="10"/>
      <c r="E15" s="15">
        <f>SUM(E3:E14)</f>
        <v>24889.9</v>
      </c>
    </row>
    <row r="16" spans="1:256" s="6" customFormat="1" ht="18" customHeight="1" thickBot="1" x14ac:dyDescent="0.25">
      <c r="A16" s="9" t="s">
        <v>53</v>
      </c>
      <c r="E16" s="42">
        <v>1</v>
      </c>
      <c r="IS16" s="7"/>
      <c r="IT16" s="7"/>
      <c r="IU16" s="7"/>
      <c r="IV16" s="7"/>
    </row>
    <row r="17" spans="1:256" s="6" customFormat="1" ht="16.5" customHeight="1" thickBot="1" x14ac:dyDescent="0.25">
      <c r="A17" s="9" t="s">
        <v>54</v>
      </c>
      <c r="E17" s="42">
        <v>26</v>
      </c>
      <c r="IS17" s="7"/>
      <c r="IT17" s="7"/>
      <c r="IU17" s="7"/>
      <c r="IV17" s="7"/>
    </row>
    <row r="18" spans="1:256" s="6" customFormat="1" ht="16.5" customHeight="1" thickBot="1" x14ac:dyDescent="0.25">
      <c r="A18" s="9" t="s">
        <v>55</v>
      </c>
      <c r="E18" s="41">
        <f>E15*E16*E17</f>
        <v>647137.4</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S20" s="11"/>
      <c r="IT20" s="11"/>
      <c r="IU20" s="11"/>
      <c r="IV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row>
    <row r="22" spans="1:256" s="11" customFormat="1" ht="18" customHeight="1" x14ac:dyDescent="0.2">
      <c r="A22" s="13" t="s">
        <v>62</v>
      </c>
      <c r="B22" s="19" t="s">
        <v>24</v>
      </c>
      <c r="C22" s="17">
        <v>1</v>
      </c>
      <c r="D22" s="17" t="s">
        <v>25</v>
      </c>
      <c r="E22" s="18">
        <v>0</v>
      </c>
      <c r="F22" s="20">
        <f>E22*C22</f>
        <v>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row>
    <row r="23" spans="1:256" s="11" customFormat="1" ht="18" customHeight="1" x14ac:dyDescent="0.2">
      <c r="A23" s="13" t="s">
        <v>62</v>
      </c>
      <c r="B23" s="19" t="s">
        <v>63</v>
      </c>
      <c r="C23" s="17">
        <v>1</v>
      </c>
      <c r="D23" s="17" t="s">
        <v>25</v>
      </c>
      <c r="E23" s="18">
        <v>0</v>
      </c>
      <c r="F23" s="20">
        <f>E23*C23</f>
        <v>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row>
    <row r="24" spans="1:256" s="11" customFormat="1" ht="16" thickBot="1" x14ac:dyDescent="0.25">
      <c r="A24" s="21"/>
      <c r="B24" s="21"/>
      <c r="C24" s="21"/>
      <c r="D24" s="21"/>
      <c r="E24" s="22" t="s">
        <v>64</v>
      </c>
      <c r="F24" s="23">
        <f>SUM(F22:F23)</f>
        <v>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row>
    <row r="27" spans="1:256" ht="18" customHeight="1" x14ac:dyDescent="0.2">
      <c r="A27" s="31" t="s">
        <v>65</v>
      </c>
    </row>
    <row r="28" spans="1:256" ht="18" customHeight="1" x14ac:dyDescent="0.2">
      <c r="A28" s="1" t="s">
        <v>47</v>
      </c>
      <c r="B28" s="1" t="s">
        <v>48</v>
      </c>
      <c r="C28" s="1" t="s">
        <v>49</v>
      </c>
      <c r="D28" s="1" t="s">
        <v>50</v>
      </c>
      <c r="E28" s="1" t="s">
        <v>66</v>
      </c>
    </row>
    <row r="29" spans="1:256" ht="18" customHeight="1" x14ac:dyDescent="0.2">
      <c r="A29" s="4"/>
      <c r="B29" s="4"/>
      <c r="C29" s="16">
        <f>_xlfn.XLOOKUP(A29,'LCATs &amp; Rates'!$A$5:$A$44,'LCATs &amp; Rates'!$G$5:$G$44)</f>
        <v>0</v>
      </c>
      <c r="D29" s="5"/>
      <c r="E29" s="14">
        <f>$C29*$D29</f>
        <v>0</v>
      </c>
    </row>
    <row r="30" spans="1:256" ht="18" customHeight="1" x14ac:dyDescent="0.2">
      <c r="A30" s="4"/>
      <c r="B30" s="4"/>
      <c r="C30" s="16">
        <f>_xlfn.XLOOKUP(A30,'LCATs &amp; Rates'!$A$5:$A$44,'LCATs &amp; Rates'!$G$5:$G$44)</f>
        <v>0</v>
      </c>
      <c r="D30" s="5"/>
      <c r="E30" s="14">
        <f t="shared" ref="E30:E40" si="1">$C30*$D30</f>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thickBot="1" x14ac:dyDescent="0.25">
      <c r="A40" s="8"/>
      <c r="B40" s="8"/>
      <c r="C40" s="16">
        <f>_xlfn.XLOOKUP(A40,'LCATs &amp; Rates'!$A$5:$A$44,'LCATs &amp; Rates'!$G$5:$G$44)</f>
        <v>0</v>
      </c>
      <c r="D40" s="5"/>
      <c r="E40" s="14">
        <f t="shared" si="1"/>
        <v>0</v>
      </c>
    </row>
    <row r="41" spans="1:256" ht="18" customHeight="1" thickBot="1" x14ac:dyDescent="0.25">
      <c r="A41" s="9" t="s">
        <v>52</v>
      </c>
      <c r="B41" s="9"/>
      <c r="C41" s="10"/>
      <c r="D41" s="10"/>
      <c r="E41" s="15">
        <f>SUM(E29:E40)</f>
        <v>0</v>
      </c>
    </row>
    <row r="42" spans="1:256" s="6" customFormat="1" ht="18" customHeight="1" thickBot="1" x14ac:dyDescent="0.25">
      <c r="A42" s="9" t="s">
        <v>53</v>
      </c>
      <c r="E42" s="42">
        <v>1</v>
      </c>
      <c r="IS42" s="7"/>
      <c r="IT42" s="7"/>
      <c r="IU42" s="7"/>
      <c r="IV42" s="7"/>
    </row>
    <row r="43" spans="1:256" s="6" customFormat="1" ht="16.5" customHeight="1" thickBot="1" x14ac:dyDescent="0.25">
      <c r="A43" s="9" t="s">
        <v>54</v>
      </c>
      <c r="E43" s="42">
        <v>26</v>
      </c>
      <c r="IS43" s="7"/>
      <c r="IT43" s="7"/>
      <c r="IU43" s="7"/>
      <c r="IV43" s="7"/>
    </row>
    <row r="44" spans="1:256" s="6" customFormat="1" ht="16.5" customHeight="1" thickBot="1" x14ac:dyDescent="0.25">
      <c r="A44" s="9" t="s">
        <v>67</v>
      </c>
      <c r="E44" s="41">
        <f>E41*E42*E43</f>
        <v>0</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row>
    <row r="47" spans="1:256" ht="18" customHeight="1" x14ac:dyDescent="0.2">
      <c r="A47" s="12" t="s">
        <v>57</v>
      </c>
      <c r="B47" s="12" t="s">
        <v>58</v>
      </c>
      <c r="C47" s="12" t="s">
        <v>59</v>
      </c>
      <c r="D47" s="12" t="s">
        <v>14</v>
      </c>
      <c r="E47" s="12" t="s">
        <v>60</v>
      </c>
      <c r="F47" s="12" t="s">
        <v>61</v>
      </c>
    </row>
    <row r="48" spans="1:256" ht="18" customHeight="1" x14ac:dyDescent="0.2">
      <c r="A48" s="13" t="s">
        <v>62</v>
      </c>
      <c r="B48" s="19" t="s">
        <v>24</v>
      </c>
      <c r="C48" s="17">
        <v>1</v>
      </c>
      <c r="D48" s="17" t="s">
        <v>25</v>
      </c>
      <c r="E48" s="18">
        <v>0</v>
      </c>
      <c r="F48" s="20">
        <f>E48*C48</f>
        <v>0</v>
      </c>
    </row>
    <row r="49" spans="1:6" ht="15" x14ac:dyDescent="0.2">
      <c r="A49" s="13" t="s">
        <v>62</v>
      </c>
      <c r="B49" s="19" t="s">
        <v>63</v>
      </c>
      <c r="C49" s="17">
        <v>1</v>
      </c>
      <c r="D49" s="17" t="s">
        <v>25</v>
      </c>
      <c r="E49" s="18">
        <v>0</v>
      </c>
      <c r="F49" s="20">
        <f>E49*C49</f>
        <v>0</v>
      </c>
    </row>
    <row r="50" spans="1:6" ht="16" thickBot="1" x14ac:dyDescent="0.25">
      <c r="A50" s="21"/>
      <c r="B50" s="21"/>
      <c r="C50" s="21"/>
      <c r="D50" s="21"/>
      <c r="E50" s="22" t="s">
        <v>64</v>
      </c>
      <c r="F50" s="23">
        <f>SUM(F48:F49)</f>
        <v>0</v>
      </c>
    </row>
    <row r="53" spans="1:6" ht="18" customHeight="1" x14ac:dyDescent="0.2">
      <c r="A53" s="31" t="s">
        <v>68</v>
      </c>
    </row>
    <row r="54" spans="1:6" ht="18" customHeight="1" x14ac:dyDescent="0.2">
      <c r="A54" s="1" t="s">
        <v>47</v>
      </c>
      <c r="B54" s="1" t="s">
        <v>48</v>
      </c>
      <c r="C54" s="1" t="s">
        <v>49</v>
      </c>
      <c r="D54" s="1" t="s">
        <v>50</v>
      </c>
      <c r="E54" s="1" t="s">
        <v>66</v>
      </c>
    </row>
    <row r="55" spans="1:6" ht="18" customHeight="1" x14ac:dyDescent="0.2">
      <c r="A55" s="4"/>
      <c r="B55" s="4"/>
      <c r="C55" s="16">
        <f>_xlfn.XLOOKUP(A55,'LCATs &amp; Rates'!$A$5:$A$44,'LCATs &amp; Rates'!$H$5:$H$44)</f>
        <v>0</v>
      </c>
      <c r="D55" s="5"/>
      <c r="E55" s="14">
        <f>$C55*$D55</f>
        <v>0</v>
      </c>
    </row>
    <row r="56" spans="1:6" ht="18" customHeight="1" x14ac:dyDescent="0.2">
      <c r="A56" s="4"/>
      <c r="B56" s="4"/>
      <c r="C56" s="16">
        <f>_xlfn.XLOOKUP(A56,'LCATs &amp; Rates'!$A$5:$A$44,'LCATs &amp; Rates'!$H$5:$H$44)</f>
        <v>0</v>
      </c>
      <c r="D56" s="5"/>
      <c r="E56" s="14">
        <f t="shared" ref="E56:E66" si="2">$C56*$D56</f>
        <v>0</v>
      </c>
    </row>
    <row r="57" spans="1:6" ht="18" customHeight="1" x14ac:dyDescent="0.2">
      <c r="A57" s="4"/>
      <c r="B57" s="4"/>
      <c r="C57" s="16">
        <f>_xlfn.XLOOKUP(A57,'LCATs &amp; Rates'!$A$5:$A$44,'LCATs &amp; Rates'!$H$5:$H$44)</f>
        <v>0</v>
      </c>
      <c r="D57" s="5"/>
      <c r="E57" s="14">
        <f t="shared" si="2"/>
        <v>0</v>
      </c>
    </row>
    <row r="58" spans="1:6" ht="18" customHeight="1" x14ac:dyDescent="0.2">
      <c r="A58" s="4"/>
      <c r="B58" s="4"/>
      <c r="C58" s="16">
        <f>_xlfn.XLOOKUP(A58,'LCATs &amp; Rates'!$A$5:$A$44,'LCATs &amp; Rates'!$H$5:$H$44)</f>
        <v>0</v>
      </c>
      <c r="D58" s="5"/>
      <c r="E58" s="14">
        <f t="shared" si="2"/>
        <v>0</v>
      </c>
    </row>
    <row r="59" spans="1:6" ht="18" customHeight="1" x14ac:dyDescent="0.2">
      <c r="A59" s="4"/>
      <c r="B59" s="4"/>
      <c r="C59" s="16">
        <f>_xlfn.XLOOKUP(A59,'LCATs &amp; Rates'!$A$5:$A$44,'LCATs &amp; Rates'!$H$5:$H$44)</f>
        <v>0</v>
      </c>
      <c r="D59" s="5"/>
      <c r="E59" s="14">
        <f t="shared" si="2"/>
        <v>0</v>
      </c>
    </row>
    <row r="60" spans="1:6" ht="18" customHeight="1" x14ac:dyDescent="0.2">
      <c r="A60" s="4"/>
      <c r="B60" s="4"/>
      <c r="C60" s="16">
        <f>_xlfn.XLOOKUP(A60,'LCATs &amp; Rates'!$A$5:$A$44,'LCATs &amp; Rates'!$H$5:$H$44)</f>
        <v>0</v>
      </c>
      <c r="D60" s="5"/>
      <c r="E60" s="14">
        <f t="shared" si="2"/>
        <v>0</v>
      </c>
    </row>
    <row r="61" spans="1:6" ht="18" customHeight="1" x14ac:dyDescent="0.2">
      <c r="A61" s="4"/>
      <c r="B61" s="4"/>
      <c r="C61" s="16">
        <f>_xlfn.XLOOKUP(A61,'LCATs &amp; Rates'!$A$5:$A$44,'LCATs &amp; Rates'!$H$5:$H$44)</f>
        <v>0</v>
      </c>
      <c r="D61" s="5"/>
      <c r="E61" s="14">
        <f t="shared" si="2"/>
        <v>0</v>
      </c>
    </row>
    <row r="62" spans="1:6" ht="18" customHeight="1" x14ac:dyDescent="0.2">
      <c r="A62" s="4"/>
      <c r="B62" s="4"/>
      <c r="C62" s="16">
        <f>_xlfn.XLOOKUP(A62,'LCATs &amp; Rates'!$A$5:$A$44,'LCATs &amp; Rates'!$H$5:$H$44)</f>
        <v>0</v>
      </c>
      <c r="D62" s="5"/>
      <c r="E62" s="14">
        <f t="shared" si="2"/>
        <v>0</v>
      </c>
    </row>
    <row r="63" spans="1:6" ht="18" customHeight="1" x14ac:dyDescent="0.2">
      <c r="A63" s="8"/>
      <c r="B63" s="8"/>
      <c r="C63" s="16">
        <f>_xlfn.XLOOKUP(A63,'LCATs &amp; Rates'!$A$5:$A$44,'LCATs &amp; Rates'!$H$5:$H$44)</f>
        <v>0</v>
      </c>
      <c r="D63" s="5"/>
      <c r="E63" s="14">
        <f t="shared" si="2"/>
        <v>0</v>
      </c>
    </row>
    <row r="64" spans="1:6" ht="18" customHeight="1" x14ac:dyDescent="0.2">
      <c r="A64" s="8"/>
      <c r="B64" s="8"/>
      <c r="C64" s="16">
        <f>_xlfn.XLOOKUP(A64,'LCATs &amp; Rates'!$A$5:$A$44,'LCATs &amp; Rates'!$H$5:$H$44)</f>
        <v>0</v>
      </c>
      <c r="D64" s="5"/>
      <c r="E64" s="14">
        <f t="shared" si="2"/>
        <v>0</v>
      </c>
    </row>
    <row r="65" spans="1:256" ht="18" customHeight="1" x14ac:dyDescent="0.2">
      <c r="A65" s="8"/>
      <c r="B65" s="8"/>
      <c r="C65" s="16">
        <f>_xlfn.XLOOKUP(A65,'LCATs &amp; Rates'!$A$5:$A$44,'LCATs &amp; Rates'!$H$5:$H$44)</f>
        <v>0</v>
      </c>
      <c r="D65" s="5"/>
      <c r="E65" s="14">
        <f t="shared" si="2"/>
        <v>0</v>
      </c>
    </row>
    <row r="66" spans="1:256" ht="18" customHeight="1" thickBot="1" x14ac:dyDescent="0.25">
      <c r="A66" s="8"/>
      <c r="B66" s="8"/>
      <c r="C66" s="16">
        <f>_xlfn.XLOOKUP(A66,'LCATs &amp; Rates'!$A$5:$A$44,'LCATs &amp; Rates'!$H$5:$H$44)</f>
        <v>0</v>
      </c>
      <c r="D66" s="5"/>
      <c r="E66" s="14">
        <f t="shared" si="2"/>
        <v>0</v>
      </c>
    </row>
    <row r="67" spans="1:256" ht="18" customHeight="1" thickBot="1" x14ac:dyDescent="0.25">
      <c r="A67" s="9" t="s">
        <v>52</v>
      </c>
      <c r="B67" s="9"/>
      <c r="C67" s="10"/>
      <c r="D67" s="10"/>
      <c r="E67" s="15">
        <f>SUM(E55:E66)</f>
        <v>0</v>
      </c>
    </row>
    <row r="68" spans="1:256" s="6" customFormat="1" ht="18" customHeight="1" thickBot="1" x14ac:dyDescent="0.25">
      <c r="A68" s="9" t="s">
        <v>53</v>
      </c>
      <c r="E68" s="42">
        <v>1</v>
      </c>
      <c r="IS68" s="7"/>
      <c r="IT68" s="7"/>
      <c r="IU68" s="7"/>
      <c r="IV68" s="7"/>
    </row>
    <row r="69" spans="1:256" s="6" customFormat="1" ht="16.5" customHeight="1" thickBot="1" x14ac:dyDescent="0.25">
      <c r="A69" s="9" t="s">
        <v>54</v>
      </c>
      <c r="E69" s="42">
        <v>26</v>
      </c>
      <c r="IS69" s="7"/>
      <c r="IT69" s="7"/>
      <c r="IU69" s="7"/>
      <c r="IV69" s="7"/>
    </row>
    <row r="70" spans="1:256" s="6" customFormat="1" ht="16.5" customHeight="1" thickBot="1" x14ac:dyDescent="0.25">
      <c r="A70" s="9" t="s">
        <v>69</v>
      </c>
      <c r="E70" s="41">
        <f>E67*E68*E69</f>
        <v>0</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row>
    <row r="73" spans="1:256" ht="18" customHeight="1" x14ac:dyDescent="0.2">
      <c r="A73" s="12" t="s">
        <v>57</v>
      </c>
      <c r="B73" s="12" t="s">
        <v>58</v>
      </c>
      <c r="C73" s="12" t="s">
        <v>59</v>
      </c>
      <c r="D73" s="12" t="s">
        <v>14</v>
      </c>
      <c r="E73" s="12" t="s">
        <v>60</v>
      </c>
      <c r="F73" s="12" t="s">
        <v>61</v>
      </c>
    </row>
    <row r="74" spans="1:256" ht="18" customHeight="1" x14ac:dyDescent="0.2">
      <c r="A74" s="13" t="s">
        <v>62</v>
      </c>
      <c r="B74" s="19" t="s">
        <v>24</v>
      </c>
      <c r="C74" s="17">
        <v>1</v>
      </c>
      <c r="D74" s="17" t="s">
        <v>25</v>
      </c>
      <c r="E74" s="18">
        <v>0</v>
      </c>
      <c r="F74" s="20">
        <f>E74*C74</f>
        <v>0</v>
      </c>
    </row>
    <row r="75" spans="1:256" ht="15" x14ac:dyDescent="0.2">
      <c r="A75" s="13" t="s">
        <v>62</v>
      </c>
      <c r="B75" s="19" t="s">
        <v>63</v>
      </c>
      <c r="C75" s="17">
        <v>1</v>
      </c>
      <c r="D75" s="17" t="s">
        <v>25</v>
      </c>
      <c r="E75" s="18">
        <v>0</v>
      </c>
      <c r="F75" s="20">
        <f>E75*C75</f>
        <v>0</v>
      </c>
    </row>
    <row r="76" spans="1:256" ht="16" thickBot="1" x14ac:dyDescent="0.25">
      <c r="A76" s="21"/>
      <c r="B76" s="21"/>
      <c r="C76" s="21"/>
      <c r="D76" s="21"/>
      <c r="E76" s="22" t="s">
        <v>64</v>
      </c>
      <c r="F76" s="23">
        <f>SUM(F74:F75)</f>
        <v>0</v>
      </c>
    </row>
  </sheetData>
  <autoFilter ref="A2:E15" xr:uid="{B9DFE324-DC59-4577-B881-6DD96FBF83DE}"/>
  <pageMargins left="0.5" right="0.5" top="0.75" bottom="0.75" header="0.27777800000000002" footer="0.27777800000000002"/>
  <pageSetup orientation="portrait" r:id="rId1"/>
  <headerFooter>
    <oddFooter>&amp;C&amp;"Helvetica,Regular"&amp;12&amp;K000000&amp;P_x000D_&amp;1#&amp;"Calibri"&amp;14&amp;K000000 SBU - CONTRACTING AND ACQUISITIONS</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4B57D5E-75C4-4858-8523-6595BCB87A78}">
          <x14:formula1>
            <xm:f>'LCATs &amp; Rates'!$A$5:$A$35</xm:f>
          </x14:formula1>
          <xm:sqref>A3:A14 A29:A40 A55:A66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499F-5B85-4D5A-A8D8-7902CE596056}">
  <sheetPr>
    <tabColor theme="5"/>
    <pageSetUpPr fitToPage="1"/>
  </sheetPr>
  <dimension ref="A1:IV76"/>
  <sheetViews>
    <sheetView showGridLines="0" zoomScale="90" zoomScaleNormal="90" zoomScalePageLayoutView="125" workbookViewId="0">
      <selection activeCell="E68" sqref="E68:E69"/>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58.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c r="B3" s="4"/>
      <c r="C3" s="16">
        <f>_xlfn.XLOOKUP(A3,'LCATs &amp; Rates'!$A$5:$A$44,'LCATs &amp; Rates'!$F$5:$F$44)</f>
        <v>0</v>
      </c>
      <c r="D3" s="5"/>
      <c r="E3" s="14">
        <f>$C3*$D3</f>
        <v>0</v>
      </c>
    </row>
    <row r="4" spans="1:256" ht="18" customHeight="1" x14ac:dyDescent="0.2">
      <c r="A4" s="4"/>
      <c r="B4" s="4"/>
      <c r="C4" s="16">
        <f>_xlfn.XLOOKUP(A4,'LCATs &amp; Rates'!$A$5:$A$44,'LCATs &amp; Rates'!$F$5:$F$44)</f>
        <v>0</v>
      </c>
      <c r="D4" s="5"/>
      <c r="E4" s="14">
        <f t="shared" ref="E4:E14" si="0">$C4*$D4</f>
        <v>0</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thickBot="1" x14ac:dyDescent="0.25">
      <c r="A14" s="8"/>
      <c r="B14" s="8"/>
      <c r="C14" s="16">
        <f>_xlfn.XLOOKUP(A14,'LCATs &amp; Rates'!$A$5:$A$44,'LCATs &amp; Rates'!$F$5:$F$44)</f>
        <v>0</v>
      </c>
      <c r="D14" s="5"/>
      <c r="E14" s="14">
        <f t="shared" si="0"/>
        <v>0</v>
      </c>
    </row>
    <row r="15" spans="1:256" ht="18" customHeight="1" thickBot="1" x14ac:dyDescent="0.25">
      <c r="A15" s="9" t="s">
        <v>52</v>
      </c>
      <c r="B15" s="9"/>
      <c r="C15" s="10"/>
      <c r="D15" s="10"/>
      <c r="E15" s="15">
        <f>SUM(E3:E14)</f>
        <v>0</v>
      </c>
    </row>
    <row r="16" spans="1:256" s="6" customFormat="1" ht="18" customHeight="1" thickBot="1" x14ac:dyDescent="0.25">
      <c r="A16" s="9" t="s">
        <v>53</v>
      </c>
      <c r="E16" s="42">
        <v>1</v>
      </c>
      <c r="IS16" s="7"/>
      <c r="IT16" s="7"/>
      <c r="IU16" s="7"/>
      <c r="IV16" s="7"/>
    </row>
    <row r="17" spans="1:256" s="6" customFormat="1" ht="16.5" customHeight="1" thickBot="1" x14ac:dyDescent="0.25">
      <c r="A17" s="9" t="s">
        <v>54</v>
      </c>
      <c r="E17" s="42">
        <v>26</v>
      </c>
      <c r="IS17" s="7"/>
      <c r="IT17" s="7"/>
      <c r="IU17" s="7"/>
      <c r="IV17" s="7"/>
    </row>
    <row r="18" spans="1:256" s="6" customFormat="1" ht="16.5" customHeight="1" thickBot="1" x14ac:dyDescent="0.25">
      <c r="A18" s="9" t="s">
        <v>55</v>
      </c>
      <c r="E18" s="15">
        <f>E15*E16*E17</f>
        <v>0</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Q20" s="11"/>
      <c r="IR20" s="11"/>
      <c r="IS20" s="11"/>
      <c r="IT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row>
    <row r="22" spans="1:256" s="11" customFormat="1" ht="18" customHeight="1" x14ac:dyDescent="0.2">
      <c r="A22" s="13" t="s">
        <v>62</v>
      </c>
      <c r="B22" s="19" t="s">
        <v>24</v>
      </c>
      <c r="C22" s="17">
        <v>1</v>
      </c>
      <c r="D22" s="17" t="s">
        <v>25</v>
      </c>
      <c r="E22" s="18">
        <v>0</v>
      </c>
      <c r="F22" s="20">
        <f>E22*C22</f>
        <v>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row>
    <row r="23" spans="1:256" s="11" customFormat="1" ht="18" customHeight="1" x14ac:dyDescent="0.2">
      <c r="A23" s="13" t="s">
        <v>62</v>
      </c>
      <c r="B23" s="19" t="s">
        <v>63</v>
      </c>
      <c r="C23" s="17">
        <v>1</v>
      </c>
      <c r="D23" s="17" t="s">
        <v>25</v>
      </c>
      <c r="E23" s="18">
        <v>0</v>
      </c>
      <c r="F23" s="20">
        <f>E23*C23</f>
        <v>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row>
    <row r="24" spans="1:256" s="11" customFormat="1" ht="18" customHeight="1" thickBot="1" x14ac:dyDescent="0.25">
      <c r="A24" s="21"/>
      <c r="B24" s="21"/>
      <c r="C24" s="21"/>
      <c r="D24" s="21"/>
      <c r="E24" s="22" t="s">
        <v>64</v>
      </c>
      <c r="F24" s="23">
        <f>SUM(F22:F23)</f>
        <v>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row>
    <row r="27" spans="1:256" ht="18" customHeight="1" x14ac:dyDescent="0.2">
      <c r="A27" s="31" t="s">
        <v>65</v>
      </c>
    </row>
    <row r="28" spans="1:256" ht="18" customHeight="1" x14ac:dyDescent="0.2">
      <c r="A28" s="1" t="s">
        <v>47</v>
      </c>
      <c r="B28" s="1" t="s">
        <v>48</v>
      </c>
      <c r="C28" s="1" t="s">
        <v>49</v>
      </c>
      <c r="D28" s="1" t="s">
        <v>50</v>
      </c>
      <c r="E28" s="1" t="s">
        <v>66</v>
      </c>
      <c r="F28" s="2"/>
      <c r="G28" s="2"/>
    </row>
    <row r="29" spans="1:256" ht="18" customHeight="1" x14ac:dyDescent="0.2">
      <c r="A29" s="4"/>
      <c r="B29" s="4"/>
      <c r="C29" s="16">
        <f>_xlfn.XLOOKUP(A29,'LCATs &amp; Rates'!$A$5:$A$44,'LCATs &amp; Rates'!$G$5:$G$44)</f>
        <v>0</v>
      </c>
      <c r="D29" s="5"/>
      <c r="E29" s="14">
        <f>$C29*$D29</f>
        <v>0</v>
      </c>
    </row>
    <row r="30" spans="1:256" ht="18" customHeight="1" x14ac:dyDescent="0.2">
      <c r="A30" s="4"/>
      <c r="B30" s="4"/>
      <c r="C30" s="16">
        <f>_xlfn.XLOOKUP(A30,'LCATs &amp; Rates'!$A$5:$A$44,'LCATs &amp; Rates'!$G$5:$G$44)</f>
        <v>0</v>
      </c>
      <c r="D30" s="5"/>
      <c r="E30" s="14">
        <f t="shared" ref="E30:E40" si="1">$C30*$D30</f>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thickBot="1" x14ac:dyDescent="0.25">
      <c r="A40" s="8"/>
      <c r="B40" s="8"/>
      <c r="C40" s="16">
        <f>_xlfn.XLOOKUP(A40,'LCATs &amp; Rates'!$A$5:$A$44,'LCATs &amp; Rates'!$G$5:$G$44)</f>
        <v>0</v>
      </c>
      <c r="D40" s="5"/>
      <c r="E40" s="14">
        <f t="shared" si="1"/>
        <v>0</v>
      </c>
    </row>
    <row r="41" spans="1:256" ht="18" customHeight="1" thickBot="1" x14ac:dyDescent="0.25">
      <c r="A41" s="9" t="s">
        <v>52</v>
      </c>
      <c r="B41" s="9"/>
      <c r="C41" s="10"/>
      <c r="D41" s="10"/>
      <c r="E41" s="15">
        <f>SUM(E29:E40)</f>
        <v>0</v>
      </c>
    </row>
    <row r="42" spans="1:256" s="6" customFormat="1" ht="18" customHeight="1" thickBot="1" x14ac:dyDescent="0.25">
      <c r="A42" s="9" t="s">
        <v>53</v>
      </c>
      <c r="E42" s="42">
        <v>1</v>
      </c>
      <c r="IS42" s="7"/>
      <c r="IT42" s="7"/>
      <c r="IU42" s="7"/>
      <c r="IV42" s="7"/>
    </row>
    <row r="43" spans="1:256" s="6" customFormat="1" ht="16.5" customHeight="1" thickBot="1" x14ac:dyDescent="0.25">
      <c r="A43" s="9" t="s">
        <v>54</v>
      </c>
      <c r="E43" s="42">
        <v>26</v>
      </c>
      <c r="IS43" s="7"/>
      <c r="IT43" s="7"/>
      <c r="IU43" s="7"/>
      <c r="IV43" s="7"/>
    </row>
    <row r="44" spans="1:256" s="6" customFormat="1" ht="16.5" customHeight="1" thickBot="1" x14ac:dyDescent="0.25">
      <c r="A44" s="9" t="s">
        <v>67</v>
      </c>
      <c r="E44" s="41">
        <f>E41*E42*E43</f>
        <v>0</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c r="F46" s="10"/>
      <c r="G46" s="10"/>
    </row>
    <row r="47" spans="1:256" ht="18" customHeight="1" x14ac:dyDescent="0.2">
      <c r="A47" s="12" t="s">
        <v>57</v>
      </c>
      <c r="B47" s="12" t="s">
        <v>58</v>
      </c>
      <c r="C47" s="12" t="s">
        <v>59</v>
      </c>
      <c r="D47" s="12" t="s">
        <v>14</v>
      </c>
      <c r="E47" s="12" t="s">
        <v>60</v>
      </c>
      <c r="F47" s="12" t="s">
        <v>61</v>
      </c>
      <c r="G47" s="10"/>
    </row>
    <row r="48" spans="1:256" ht="18" customHeight="1" x14ac:dyDescent="0.2">
      <c r="A48" s="13" t="s">
        <v>62</v>
      </c>
      <c r="B48" s="19" t="s">
        <v>24</v>
      </c>
      <c r="C48" s="17">
        <v>1</v>
      </c>
      <c r="D48" s="17" t="s">
        <v>25</v>
      </c>
      <c r="E48" s="18">
        <v>0</v>
      </c>
      <c r="F48" s="20">
        <f>E48*C48</f>
        <v>0</v>
      </c>
      <c r="G48" s="10"/>
    </row>
    <row r="49" spans="1:7" ht="18" customHeight="1" x14ac:dyDescent="0.2">
      <c r="A49" s="13" t="s">
        <v>62</v>
      </c>
      <c r="B49" s="19" t="s">
        <v>63</v>
      </c>
      <c r="C49" s="17">
        <v>1</v>
      </c>
      <c r="D49" s="17" t="s">
        <v>25</v>
      </c>
      <c r="E49" s="18">
        <v>0</v>
      </c>
      <c r="F49" s="20">
        <f>E49*C49</f>
        <v>0</v>
      </c>
      <c r="G49" s="10"/>
    </row>
    <row r="50" spans="1:7" ht="18" customHeight="1" thickBot="1" x14ac:dyDescent="0.25">
      <c r="A50" s="21"/>
      <c r="B50" s="21"/>
      <c r="C50" s="21"/>
      <c r="D50" s="21"/>
      <c r="E50" s="22" t="s">
        <v>64</v>
      </c>
      <c r="F50" s="23">
        <f>SUM(F48:F49)</f>
        <v>0</v>
      </c>
      <c r="G50" s="10"/>
    </row>
    <row r="53" spans="1:7" ht="18" customHeight="1" x14ac:dyDescent="0.2">
      <c r="A53" s="31" t="s">
        <v>68</v>
      </c>
    </row>
    <row r="54" spans="1:7" ht="60.5" customHeight="1" x14ac:dyDescent="0.2">
      <c r="A54" s="1" t="s">
        <v>47</v>
      </c>
      <c r="B54" s="1" t="s">
        <v>48</v>
      </c>
      <c r="C54" s="1" t="s">
        <v>49</v>
      </c>
      <c r="D54" s="1" t="s">
        <v>50</v>
      </c>
      <c r="E54" s="1" t="s">
        <v>66</v>
      </c>
      <c r="F54" s="2"/>
      <c r="G54" s="2"/>
    </row>
    <row r="55" spans="1:7" ht="18" customHeight="1" x14ac:dyDescent="0.2">
      <c r="A55" s="4"/>
      <c r="B55" s="4"/>
      <c r="C55" s="16">
        <f>_xlfn.XLOOKUP(A55,'LCATs &amp; Rates'!$A$5:$A$44,'LCATs &amp; Rates'!$H$5:$H$44)</f>
        <v>0</v>
      </c>
      <c r="D55" s="5"/>
      <c r="E55" s="14">
        <f>$C55*$D55</f>
        <v>0</v>
      </c>
    </row>
    <row r="56" spans="1:7" ht="18" customHeight="1" x14ac:dyDescent="0.2">
      <c r="A56" s="4"/>
      <c r="B56" s="4"/>
      <c r="C56" s="16">
        <f>_xlfn.XLOOKUP(A56,'LCATs &amp; Rates'!$A$5:$A$44,'LCATs &amp; Rates'!$H$5:$H$44)</f>
        <v>0</v>
      </c>
      <c r="D56" s="5"/>
      <c r="E56" s="14">
        <f t="shared" ref="E56:E66" si="2">$C56*$D56</f>
        <v>0</v>
      </c>
    </row>
    <row r="57" spans="1:7" ht="18" customHeight="1" x14ac:dyDescent="0.2">
      <c r="A57" s="4"/>
      <c r="B57" s="4"/>
      <c r="C57" s="16">
        <f>_xlfn.XLOOKUP(A57,'LCATs &amp; Rates'!$A$5:$A$44,'LCATs &amp; Rates'!$H$5:$H$44)</f>
        <v>0</v>
      </c>
      <c r="D57" s="5"/>
      <c r="E57" s="14">
        <f t="shared" si="2"/>
        <v>0</v>
      </c>
    </row>
    <row r="58" spans="1:7" ht="18" customHeight="1" x14ac:dyDescent="0.2">
      <c r="A58" s="4"/>
      <c r="B58" s="4"/>
      <c r="C58" s="16">
        <f>_xlfn.XLOOKUP(A58,'LCATs &amp; Rates'!$A$5:$A$44,'LCATs &amp; Rates'!$H$5:$H$44)</f>
        <v>0</v>
      </c>
      <c r="D58" s="5"/>
      <c r="E58" s="14">
        <f t="shared" si="2"/>
        <v>0</v>
      </c>
    </row>
    <row r="59" spans="1:7" ht="18" customHeight="1" x14ac:dyDescent="0.2">
      <c r="A59" s="4"/>
      <c r="B59" s="4"/>
      <c r="C59" s="16">
        <f>_xlfn.XLOOKUP(A59,'LCATs &amp; Rates'!$A$5:$A$44,'LCATs &amp; Rates'!$H$5:$H$44)</f>
        <v>0</v>
      </c>
      <c r="D59" s="5"/>
      <c r="E59" s="14">
        <f t="shared" si="2"/>
        <v>0</v>
      </c>
    </row>
    <row r="60" spans="1:7" ht="18" customHeight="1" x14ac:dyDescent="0.2">
      <c r="A60" s="4"/>
      <c r="B60" s="4"/>
      <c r="C60" s="16">
        <f>_xlfn.XLOOKUP(A60,'LCATs &amp; Rates'!$A$5:$A$44,'LCATs &amp; Rates'!$H$5:$H$44)</f>
        <v>0</v>
      </c>
      <c r="D60" s="5"/>
      <c r="E60" s="14">
        <f t="shared" si="2"/>
        <v>0</v>
      </c>
    </row>
    <row r="61" spans="1:7" ht="18" customHeight="1" x14ac:dyDescent="0.2">
      <c r="A61" s="4"/>
      <c r="B61" s="4"/>
      <c r="C61" s="16">
        <f>_xlfn.XLOOKUP(A61,'LCATs &amp; Rates'!$A$5:$A$44,'LCATs &amp; Rates'!$H$5:$H$44)</f>
        <v>0</v>
      </c>
      <c r="D61" s="5"/>
      <c r="E61" s="14">
        <f t="shared" si="2"/>
        <v>0</v>
      </c>
    </row>
    <row r="62" spans="1:7" ht="18" customHeight="1" x14ac:dyDescent="0.2">
      <c r="A62" s="4"/>
      <c r="B62" s="4"/>
      <c r="C62" s="16">
        <f>_xlfn.XLOOKUP(A62,'LCATs &amp; Rates'!$A$5:$A$44,'LCATs &amp; Rates'!$H$5:$H$44)</f>
        <v>0</v>
      </c>
      <c r="D62" s="5"/>
      <c r="E62" s="14">
        <f t="shared" si="2"/>
        <v>0</v>
      </c>
    </row>
    <row r="63" spans="1:7" ht="18" customHeight="1" x14ac:dyDescent="0.2">
      <c r="A63" s="8"/>
      <c r="B63" s="8"/>
      <c r="C63" s="16">
        <f>_xlfn.XLOOKUP(A63,'LCATs &amp; Rates'!$A$5:$A$44,'LCATs &amp; Rates'!$H$5:$H$44)</f>
        <v>0</v>
      </c>
      <c r="D63" s="5"/>
      <c r="E63" s="14">
        <f t="shared" si="2"/>
        <v>0</v>
      </c>
    </row>
    <row r="64" spans="1:7" ht="18" customHeight="1" x14ac:dyDescent="0.2">
      <c r="A64" s="8"/>
      <c r="B64" s="8"/>
      <c r="C64" s="16">
        <f>_xlfn.XLOOKUP(A64,'LCATs &amp; Rates'!$A$5:$A$44,'LCATs &amp; Rates'!$H$5:$H$44)</f>
        <v>0</v>
      </c>
      <c r="D64" s="5"/>
      <c r="E64" s="14">
        <f t="shared" si="2"/>
        <v>0</v>
      </c>
    </row>
    <row r="65" spans="1:256" ht="18" customHeight="1" x14ac:dyDescent="0.2">
      <c r="A65" s="8"/>
      <c r="B65" s="8"/>
      <c r="C65" s="16">
        <f>_xlfn.XLOOKUP(A65,'LCATs &amp; Rates'!$A$5:$A$44,'LCATs &amp; Rates'!$H$5:$H$44)</f>
        <v>0</v>
      </c>
      <c r="D65" s="5"/>
      <c r="E65" s="14">
        <f t="shared" si="2"/>
        <v>0</v>
      </c>
    </row>
    <row r="66" spans="1:256" ht="18" customHeight="1" thickBot="1" x14ac:dyDescent="0.25">
      <c r="A66" s="8"/>
      <c r="B66" s="8"/>
      <c r="C66" s="16">
        <f>_xlfn.XLOOKUP(A66,'LCATs &amp; Rates'!$A$5:$A$44,'LCATs &amp; Rates'!$H$5:$H$44)</f>
        <v>0</v>
      </c>
      <c r="D66" s="5"/>
      <c r="E66" s="14">
        <f t="shared" si="2"/>
        <v>0</v>
      </c>
    </row>
    <row r="67" spans="1:256" ht="18" customHeight="1" thickBot="1" x14ac:dyDescent="0.25">
      <c r="A67" s="9" t="s">
        <v>52</v>
      </c>
      <c r="B67" s="9"/>
      <c r="C67" s="10"/>
      <c r="D67" s="10"/>
      <c r="E67" s="15">
        <f>SUM(E55:E66)</f>
        <v>0</v>
      </c>
    </row>
    <row r="68" spans="1:256" s="6" customFormat="1" ht="18" customHeight="1" thickBot="1" x14ac:dyDescent="0.25">
      <c r="A68" s="9" t="s">
        <v>53</v>
      </c>
      <c r="E68" s="42">
        <v>1</v>
      </c>
      <c r="IS68" s="7"/>
      <c r="IT68" s="7"/>
      <c r="IU68" s="7"/>
      <c r="IV68" s="7"/>
    </row>
    <row r="69" spans="1:256" s="6" customFormat="1" ht="16.5" customHeight="1" thickBot="1" x14ac:dyDescent="0.25">
      <c r="A69" s="9" t="s">
        <v>54</v>
      </c>
      <c r="E69" s="42">
        <v>26</v>
      </c>
      <c r="IS69" s="7"/>
      <c r="IT69" s="7"/>
      <c r="IU69" s="7"/>
      <c r="IV69" s="7"/>
    </row>
    <row r="70" spans="1:256" s="6" customFormat="1" ht="16.5" customHeight="1" thickBot="1" x14ac:dyDescent="0.25">
      <c r="A70" s="9" t="s">
        <v>69</v>
      </c>
      <c r="E70" s="41">
        <f>E67*E68*E69</f>
        <v>0</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c r="F72" s="10"/>
      <c r="G72" s="10"/>
    </row>
    <row r="73" spans="1:256" ht="18" customHeight="1" x14ac:dyDescent="0.2">
      <c r="A73" s="12" t="s">
        <v>57</v>
      </c>
      <c r="B73" s="12" t="s">
        <v>58</v>
      </c>
      <c r="C73" s="12" t="s">
        <v>59</v>
      </c>
      <c r="D73" s="12" t="s">
        <v>14</v>
      </c>
      <c r="E73" s="12" t="s">
        <v>60</v>
      </c>
      <c r="F73" s="12" t="s">
        <v>61</v>
      </c>
      <c r="G73" s="10"/>
    </row>
    <row r="74" spans="1:256" ht="18" customHeight="1" x14ac:dyDescent="0.2">
      <c r="A74" s="13" t="s">
        <v>62</v>
      </c>
      <c r="B74" s="19" t="s">
        <v>24</v>
      </c>
      <c r="C74" s="17">
        <v>1</v>
      </c>
      <c r="D74" s="17" t="s">
        <v>25</v>
      </c>
      <c r="E74" s="18">
        <v>0</v>
      </c>
      <c r="F74" s="20">
        <f>E74*C74</f>
        <v>0</v>
      </c>
      <c r="G74" s="10"/>
    </row>
    <row r="75" spans="1:256" ht="18" customHeight="1" x14ac:dyDescent="0.2">
      <c r="A75" s="13" t="s">
        <v>62</v>
      </c>
      <c r="B75" s="19" t="s">
        <v>63</v>
      </c>
      <c r="C75" s="17">
        <v>1</v>
      </c>
      <c r="D75" s="17" t="s">
        <v>25</v>
      </c>
      <c r="E75" s="18">
        <v>0</v>
      </c>
      <c r="F75" s="20">
        <f>E75*C75</f>
        <v>0</v>
      </c>
      <c r="G75" s="10"/>
    </row>
    <row r="76" spans="1:256" ht="18" customHeight="1" thickBot="1" x14ac:dyDescent="0.25">
      <c r="A76" s="21"/>
      <c r="B76" s="21"/>
      <c r="C76" s="21"/>
      <c r="D76" s="21"/>
      <c r="E76" s="22" t="s">
        <v>64</v>
      </c>
      <c r="F76" s="23">
        <f>SUM(F74:F75)</f>
        <v>0</v>
      </c>
      <c r="G76" s="10"/>
    </row>
  </sheetData>
  <autoFilter ref="A2:E15" xr:uid="{B9DFE324-DC59-4577-B881-6DD96FBF83DE}"/>
  <pageMargins left="0.5" right="0.5" top="0.75" bottom="0.75" header="0.27777800000000002" footer="0.27777800000000002"/>
  <pageSetup orientation="portrait" r:id="rId1"/>
  <headerFooter>
    <oddFooter>&amp;C&amp;"Helvetica,Regular"&amp;12&amp;K000000&amp;P_x000D_&amp;1#&amp;"Calibri"&amp;14&amp;K000000 SBU - CONTRACTING AND ACQUISITIONS</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A5D364D-D6A4-4C6A-910D-C80E872E160F}">
          <x14:formula1>
            <xm:f>'LCATs &amp; Rates'!$A$5:$A$35</xm:f>
          </x14:formula1>
          <xm:sqref>A3:A14 A29:A40 A55:A66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D8BA2-A44B-4737-BCD4-B48A2F4F1B08}">
  <sheetPr>
    <tabColor theme="5"/>
    <pageSetUpPr fitToPage="1"/>
  </sheetPr>
  <dimension ref="A1:IV76"/>
  <sheetViews>
    <sheetView showGridLines="0" zoomScale="105" zoomScaleNormal="145" zoomScalePageLayoutView="125" workbookViewId="0">
      <selection activeCell="E68" sqref="E68:E69"/>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6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c r="B3" s="4"/>
      <c r="C3" s="16">
        <f>_xlfn.XLOOKUP(A3,'LCATs &amp; Rates'!$A$5:$A$44,'LCATs &amp; Rates'!$F$5:$F$44)</f>
        <v>0</v>
      </c>
      <c r="D3" s="5"/>
      <c r="E3" s="14">
        <f>$C3*$D3</f>
        <v>0</v>
      </c>
    </row>
    <row r="4" spans="1:256" ht="18" customHeight="1" x14ac:dyDescent="0.2">
      <c r="A4" s="4"/>
      <c r="B4" s="4"/>
      <c r="C4" s="16">
        <f>_xlfn.XLOOKUP(A4,'LCATs &amp; Rates'!$A$5:$A$44,'LCATs &amp; Rates'!$F$5:$F$44)</f>
        <v>0</v>
      </c>
      <c r="D4" s="5"/>
      <c r="E4" s="14">
        <f t="shared" ref="E4:E14" si="0">$C4*$D4</f>
        <v>0</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thickBot="1" x14ac:dyDescent="0.25">
      <c r="A14" s="8"/>
      <c r="B14" s="8"/>
      <c r="C14" s="16">
        <f>_xlfn.XLOOKUP(A14,'LCATs &amp; Rates'!$A$5:$A$44,'LCATs &amp; Rates'!$F$5:$F$44)</f>
        <v>0</v>
      </c>
      <c r="D14" s="5"/>
      <c r="E14" s="14">
        <f t="shared" si="0"/>
        <v>0</v>
      </c>
    </row>
    <row r="15" spans="1:256" ht="18" customHeight="1" thickBot="1" x14ac:dyDescent="0.25">
      <c r="A15" s="9" t="s">
        <v>52</v>
      </c>
      <c r="B15" s="9"/>
      <c r="C15" s="10"/>
      <c r="D15" s="10"/>
      <c r="E15" s="15">
        <f>SUM(E3:E14)</f>
        <v>0</v>
      </c>
    </row>
    <row r="16" spans="1:256" s="6" customFormat="1" ht="18" customHeight="1" thickBot="1" x14ac:dyDescent="0.25">
      <c r="A16" s="9" t="s">
        <v>53</v>
      </c>
      <c r="E16" s="42">
        <v>1</v>
      </c>
      <c r="IS16" s="7"/>
      <c r="IT16" s="7"/>
      <c r="IU16" s="7"/>
      <c r="IV16" s="7"/>
    </row>
    <row r="17" spans="1:256" s="6" customFormat="1" ht="16.5" customHeight="1" thickBot="1" x14ac:dyDescent="0.25">
      <c r="A17" s="9" t="s">
        <v>54</v>
      </c>
      <c r="E17" s="42">
        <v>26</v>
      </c>
      <c r="IS17" s="7"/>
      <c r="IT17" s="7"/>
      <c r="IU17" s="7"/>
      <c r="IV17" s="7"/>
    </row>
    <row r="18" spans="1:256" s="6" customFormat="1" ht="16.5" customHeight="1" thickBot="1" x14ac:dyDescent="0.25">
      <c r="A18" s="9" t="s">
        <v>55</v>
      </c>
      <c r="E18" s="43">
        <f>E15*E16*E17</f>
        <v>0</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O20" s="11"/>
      <c r="IP20" s="11"/>
      <c r="IQ20" s="11"/>
      <c r="IR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row>
    <row r="22" spans="1:256" s="11" customFormat="1" ht="18" customHeight="1" x14ac:dyDescent="0.2">
      <c r="A22" s="13" t="s">
        <v>62</v>
      </c>
      <c r="B22" s="19" t="s">
        <v>24</v>
      </c>
      <c r="C22" s="17">
        <v>1</v>
      </c>
      <c r="D22" s="17" t="s">
        <v>25</v>
      </c>
      <c r="E22" s="18">
        <v>0</v>
      </c>
      <c r="F22" s="20">
        <f>E22*C22</f>
        <v>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row>
    <row r="23" spans="1:256" s="11" customFormat="1" ht="15" x14ac:dyDescent="0.2">
      <c r="A23" s="13" t="s">
        <v>62</v>
      </c>
      <c r="B23" s="19" t="s">
        <v>63</v>
      </c>
      <c r="C23" s="17">
        <v>1</v>
      </c>
      <c r="D23" s="17" t="s">
        <v>25</v>
      </c>
      <c r="E23" s="18">
        <v>0</v>
      </c>
      <c r="F23" s="20">
        <f>E23*C23</f>
        <v>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row>
    <row r="24" spans="1:256" s="11" customFormat="1" ht="16" thickBot="1" x14ac:dyDescent="0.25">
      <c r="A24" s="21"/>
      <c r="B24" s="21"/>
      <c r="C24" s="21"/>
      <c r="E24" s="22" t="s">
        <v>64</v>
      </c>
      <c r="F24" s="23">
        <f>SUM(F22:F23)</f>
        <v>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row>
    <row r="26" spans="1:256" ht="18" customHeight="1" x14ac:dyDescent="0.2">
      <c r="A26" s="31" t="s">
        <v>65</v>
      </c>
    </row>
    <row r="27" spans="1:256" ht="54.5" customHeight="1" x14ac:dyDescent="0.2">
      <c r="A27" s="1" t="s">
        <v>47</v>
      </c>
      <c r="B27" s="1" t="s">
        <v>48</v>
      </c>
      <c r="C27" s="1" t="s">
        <v>49</v>
      </c>
      <c r="D27" s="1" t="s">
        <v>50</v>
      </c>
      <c r="E27" s="1" t="s">
        <v>70</v>
      </c>
    </row>
    <row r="28" spans="1:256" ht="18" customHeight="1" x14ac:dyDescent="0.2">
      <c r="A28" s="4"/>
      <c r="B28" s="4"/>
      <c r="C28" s="16">
        <f>_xlfn.XLOOKUP(A28,'LCATs &amp; Rates'!$A$5:$A$44,'LCATs &amp; Rates'!$G$5:$G$44)</f>
        <v>0</v>
      </c>
      <c r="D28" s="5"/>
      <c r="E28" s="14">
        <f>$C28*$D28</f>
        <v>0</v>
      </c>
    </row>
    <row r="29" spans="1:256" ht="18" customHeight="1" x14ac:dyDescent="0.2">
      <c r="A29" s="4"/>
      <c r="B29" s="4"/>
      <c r="C29" s="16">
        <f>_xlfn.XLOOKUP(A29,'LCATs &amp; Rates'!$A$5:$A$44,'LCATs &amp; Rates'!$G$5:$G$44)</f>
        <v>0</v>
      </c>
      <c r="D29" s="5"/>
      <c r="E29" s="14">
        <f t="shared" ref="E29:E40" si="1">$C29*$D29</f>
        <v>0</v>
      </c>
    </row>
    <row r="30" spans="1:256" ht="18" customHeight="1" x14ac:dyDescent="0.2">
      <c r="A30" s="4"/>
      <c r="B30" s="4"/>
      <c r="C30" s="16">
        <f>_xlfn.XLOOKUP(A30,'LCATs &amp; Rates'!$A$5:$A$44,'LCATs &amp; Rates'!$G$5:$G$44)</f>
        <v>0</v>
      </c>
      <c r="D30" s="5"/>
      <c r="E30" s="14">
        <f t="shared" si="1"/>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thickBot="1" x14ac:dyDescent="0.25">
      <c r="A40" s="8"/>
      <c r="B40" s="8"/>
      <c r="C40" s="16">
        <f>_xlfn.XLOOKUP(A40,'LCATs &amp; Rates'!$A$5:$A$44,'LCATs &amp; Rates'!$G$5:$G$44)</f>
        <v>0</v>
      </c>
      <c r="D40" s="5"/>
      <c r="E40" s="14">
        <f t="shared" si="1"/>
        <v>0</v>
      </c>
    </row>
    <row r="41" spans="1:256" ht="18" customHeight="1" thickBot="1" x14ac:dyDescent="0.25">
      <c r="A41" s="9" t="s">
        <v>52</v>
      </c>
      <c r="B41" s="9"/>
      <c r="C41" s="10"/>
      <c r="D41" s="10"/>
      <c r="E41" s="15">
        <f>SUM(E28:E40)</f>
        <v>0</v>
      </c>
    </row>
    <row r="42" spans="1:256" s="6" customFormat="1" ht="18" customHeight="1" thickBot="1" x14ac:dyDescent="0.25">
      <c r="A42" s="9" t="s">
        <v>53</v>
      </c>
      <c r="E42" s="42">
        <v>1</v>
      </c>
      <c r="IS42" s="7"/>
      <c r="IT42" s="7"/>
      <c r="IU42" s="7"/>
      <c r="IV42" s="7"/>
    </row>
    <row r="43" spans="1:256" s="6" customFormat="1" ht="16.5" customHeight="1" thickBot="1" x14ac:dyDescent="0.25">
      <c r="A43" s="9" t="s">
        <v>54</v>
      </c>
      <c r="E43" s="42">
        <v>26</v>
      </c>
      <c r="IS43" s="7"/>
      <c r="IT43" s="7"/>
      <c r="IU43" s="7"/>
      <c r="IV43" s="7"/>
    </row>
    <row r="44" spans="1:256" s="6" customFormat="1" ht="16.5" customHeight="1" thickBot="1" x14ac:dyDescent="0.25">
      <c r="A44" s="9" t="s">
        <v>67</v>
      </c>
      <c r="E44" s="41">
        <f>E41*E42*E43</f>
        <v>0</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c r="F46" s="10"/>
      <c r="G46" s="10"/>
    </row>
    <row r="47" spans="1:256" ht="18" customHeight="1" x14ac:dyDescent="0.2">
      <c r="A47" s="12" t="s">
        <v>57</v>
      </c>
      <c r="B47" s="12" t="s">
        <v>58</v>
      </c>
      <c r="C47" s="12" t="s">
        <v>59</v>
      </c>
      <c r="D47" s="12" t="s">
        <v>14</v>
      </c>
      <c r="E47" s="12" t="s">
        <v>60</v>
      </c>
      <c r="F47" s="12" t="s">
        <v>61</v>
      </c>
    </row>
    <row r="48" spans="1:256" ht="18" customHeight="1" x14ac:dyDescent="0.2">
      <c r="A48" s="13" t="s">
        <v>62</v>
      </c>
      <c r="B48" s="19" t="s">
        <v>24</v>
      </c>
      <c r="C48" s="17">
        <v>1</v>
      </c>
      <c r="D48" s="17" t="s">
        <v>25</v>
      </c>
      <c r="E48" s="18">
        <v>0</v>
      </c>
      <c r="F48" s="20">
        <f>E48*C48</f>
        <v>0</v>
      </c>
    </row>
    <row r="49" spans="1:6" ht="15" x14ac:dyDescent="0.2">
      <c r="A49" s="13" t="s">
        <v>62</v>
      </c>
      <c r="B49" s="19" t="s">
        <v>63</v>
      </c>
      <c r="C49" s="17">
        <v>1</v>
      </c>
      <c r="D49" s="17" t="s">
        <v>25</v>
      </c>
      <c r="E49" s="18">
        <v>0</v>
      </c>
      <c r="F49" s="20">
        <f>E49*C49</f>
        <v>0</v>
      </c>
    </row>
    <row r="50" spans="1:6" ht="16" thickBot="1" x14ac:dyDescent="0.25">
      <c r="A50" s="21"/>
      <c r="B50" s="21"/>
      <c r="C50" s="21"/>
      <c r="D50" s="21"/>
      <c r="E50" s="22" t="s">
        <v>64</v>
      </c>
      <c r="F50" s="23">
        <f>SUM(F48:F49)</f>
        <v>0</v>
      </c>
    </row>
    <row r="51" spans="1:6" ht="13" x14ac:dyDescent="0.2"/>
    <row r="52" spans="1:6" ht="18" customHeight="1" x14ac:dyDescent="0.2">
      <c r="A52" s="31" t="s">
        <v>68</v>
      </c>
    </row>
    <row r="53" spans="1:6" ht="63" customHeight="1" x14ac:dyDescent="0.2">
      <c r="A53" s="1" t="s">
        <v>47</v>
      </c>
      <c r="B53" s="1" t="s">
        <v>48</v>
      </c>
      <c r="C53" s="1" t="s">
        <v>49</v>
      </c>
      <c r="D53" s="1" t="s">
        <v>50</v>
      </c>
      <c r="E53" s="1" t="s">
        <v>71</v>
      </c>
    </row>
    <row r="54" spans="1:6" ht="18" customHeight="1" x14ac:dyDescent="0.2">
      <c r="A54" s="4"/>
      <c r="B54" s="4"/>
      <c r="C54" s="16">
        <f>_xlfn.XLOOKUP(A54,'LCATs &amp; Rates'!$A$5:$A$44,'LCATs &amp; Rates'!$G$5:$G$44)</f>
        <v>0</v>
      </c>
      <c r="D54" s="5"/>
      <c r="E54" s="14">
        <f>$C54*$D54</f>
        <v>0</v>
      </c>
    </row>
    <row r="55" spans="1:6" ht="18" customHeight="1" x14ac:dyDescent="0.2">
      <c r="A55" s="4"/>
      <c r="B55" s="4"/>
      <c r="C55" s="16">
        <f>_xlfn.XLOOKUP(A55,'LCATs &amp; Rates'!$A$5:$A$44,'LCATs &amp; Rates'!$G$5:$G$44)</f>
        <v>0</v>
      </c>
      <c r="D55" s="5"/>
      <c r="E55" s="14">
        <f t="shared" ref="E55:E66" si="2">$C55*$D55</f>
        <v>0</v>
      </c>
    </row>
    <row r="56" spans="1:6" ht="18" customHeight="1" x14ac:dyDescent="0.2">
      <c r="A56" s="4"/>
      <c r="B56" s="4"/>
      <c r="C56" s="16">
        <f>_xlfn.XLOOKUP(A56,'LCATs &amp; Rates'!$A$5:$A$44,'LCATs &amp; Rates'!$G$5:$G$44)</f>
        <v>0</v>
      </c>
      <c r="D56" s="5"/>
      <c r="E56" s="14">
        <f t="shared" si="2"/>
        <v>0</v>
      </c>
    </row>
    <row r="57" spans="1:6" ht="18" customHeight="1" x14ac:dyDescent="0.2">
      <c r="A57" s="4"/>
      <c r="B57" s="4"/>
      <c r="C57" s="16">
        <f>_xlfn.XLOOKUP(A57,'LCATs &amp; Rates'!$A$5:$A$44,'LCATs &amp; Rates'!$G$5:$G$44)</f>
        <v>0</v>
      </c>
      <c r="D57" s="5"/>
      <c r="E57" s="14">
        <f t="shared" si="2"/>
        <v>0</v>
      </c>
    </row>
    <row r="58" spans="1:6" ht="18" customHeight="1" x14ac:dyDescent="0.2">
      <c r="A58" s="4"/>
      <c r="B58" s="4"/>
      <c r="C58" s="16">
        <f>_xlfn.XLOOKUP(A58,'LCATs &amp; Rates'!$A$5:$A$44,'LCATs &amp; Rates'!$G$5:$G$44)</f>
        <v>0</v>
      </c>
      <c r="D58" s="5"/>
      <c r="E58" s="14">
        <f t="shared" si="2"/>
        <v>0</v>
      </c>
    </row>
    <row r="59" spans="1:6" ht="18" customHeight="1" x14ac:dyDescent="0.2">
      <c r="A59" s="4"/>
      <c r="B59" s="4"/>
      <c r="C59" s="16">
        <f>_xlfn.XLOOKUP(A59,'LCATs &amp; Rates'!$A$5:$A$44,'LCATs &amp; Rates'!$G$5:$G$44)</f>
        <v>0</v>
      </c>
      <c r="D59" s="5"/>
      <c r="E59" s="14">
        <f t="shared" si="2"/>
        <v>0</v>
      </c>
    </row>
    <row r="60" spans="1:6" ht="18" customHeight="1" x14ac:dyDescent="0.2">
      <c r="A60" s="4"/>
      <c r="B60" s="4"/>
      <c r="C60" s="16">
        <f>_xlfn.XLOOKUP(A60,'LCATs &amp; Rates'!$A$5:$A$44,'LCATs &amp; Rates'!$G$5:$G$44)</f>
        <v>0</v>
      </c>
      <c r="D60" s="5"/>
      <c r="E60" s="14">
        <f t="shared" si="2"/>
        <v>0</v>
      </c>
    </row>
    <row r="61" spans="1:6" ht="18" customHeight="1" x14ac:dyDescent="0.2">
      <c r="A61" s="4"/>
      <c r="B61" s="4"/>
      <c r="C61" s="16">
        <f>_xlfn.XLOOKUP(A61,'LCATs &amp; Rates'!$A$5:$A$44,'LCATs &amp; Rates'!$G$5:$G$44)</f>
        <v>0</v>
      </c>
      <c r="D61" s="5"/>
      <c r="E61" s="14">
        <f t="shared" si="2"/>
        <v>0</v>
      </c>
    </row>
    <row r="62" spans="1:6" ht="18" customHeight="1" x14ac:dyDescent="0.2">
      <c r="A62" s="4"/>
      <c r="B62" s="4"/>
      <c r="C62" s="16">
        <f>_xlfn.XLOOKUP(A62,'LCATs &amp; Rates'!$A$5:$A$44,'LCATs &amp; Rates'!$G$5:$G$44)</f>
        <v>0</v>
      </c>
      <c r="D62" s="5"/>
      <c r="E62" s="14">
        <f t="shared" si="2"/>
        <v>0</v>
      </c>
    </row>
    <row r="63" spans="1:6" ht="18" customHeight="1" x14ac:dyDescent="0.2">
      <c r="A63" s="8"/>
      <c r="B63" s="8"/>
      <c r="C63" s="16">
        <f>_xlfn.XLOOKUP(A63,'LCATs &amp; Rates'!$A$5:$A$44,'LCATs &amp; Rates'!$G$5:$G$44)</f>
        <v>0</v>
      </c>
      <c r="D63" s="5"/>
      <c r="E63" s="14">
        <f t="shared" si="2"/>
        <v>0</v>
      </c>
    </row>
    <row r="64" spans="1:6" ht="18" customHeight="1" x14ac:dyDescent="0.2">
      <c r="A64" s="8"/>
      <c r="B64" s="8"/>
      <c r="C64" s="16">
        <f>_xlfn.XLOOKUP(A64,'LCATs &amp; Rates'!$A$5:$A$44,'LCATs &amp; Rates'!$G$5:$G$44)</f>
        <v>0</v>
      </c>
      <c r="D64" s="5"/>
      <c r="E64" s="14">
        <f t="shared" si="2"/>
        <v>0</v>
      </c>
    </row>
    <row r="65" spans="1:256" ht="18" customHeight="1" x14ac:dyDescent="0.2">
      <c r="A65" s="8"/>
      <c r="B65" s="8"/>
      <c r="C65" s="16">
        <f>_xlfn.XLOOKUP(A65,'LCATs &amp; Rates'!$A$5:$A$44,'LCATs &amp; Rates'!$G$5:$G$44)</f>
        <v>0</v>
      </c>
      <c r="D65" s="5"/>
      <c r="E65" s="14">
        <f t="shared" si="2"/>
        <v>0</v>
      </c>
    </row>
    <row r="66" spans="1:256" ht="18" customHeight="1" thickBot="1" x14ac:dyDescent="0.25">
      <c r="A66" s="8"/>
      <c r="B66" s="8"/>
      <c r="C66" s="16">
        <f>_xlfn.XLOOKUP(A66,'LCATs &amp; Rates'!$A$5:$A$44,'LCATs &amp; Rates'!$G$5:$G$44)</f>
        <v>0</v>
      </c>
      <c r="D66" s="5"/>
      <c r="E66" s="14">
        <f t="shared" si="2"/>
        <v>0</v>
      </c>
    </row>
    <row r="67" spans="1:256" ht="18" customHeight="1" thickBot="1" x14ac:dyDescent="0.25">
      <c r="A67" s="9" t="s">
        <v>52</v>
      </c>
      <c r="B67" s="9"/>
      <c r="C67" s="10"/>
      <c r="D67" s="10"/>
      <c r="E67" s="15">
        <f>SUM(E54:E66)</f>
        <v>0</v>
      </c>
    </row>
    <row r="68" spans="1:256" s="6" customFormat="1" ht="18" customHeight="1" thickBot="1" x14ac:dyDescent="0.25">
      <c r="A68" s="9" t="s">
        <v>53</v>
      </c>
      <c r="E68" s="42">
        <v>1</v>
      </c>
      <c r="IS68" s="7"/>
      <c r="IT68" s="7"/>
      <c r="IU68" s="7"/>
      <c r="IV68" s="7"/>
    </row>
    <row r="69" spans="1:256" s="6" customFormat="1" ht="16.5" customHeight="1" thickBot="1" x14ac:dyDescent="0.25">
      <c r="A69" s="9" t="s">
        <v>54</v>
      </c>
      <c r="E69" s="42">
        <v>26</v>
      </c>
      <c r="IS69" s="7"/>
      <c r="IT69" s="7"/>
      <c r="IU69" s="7"/>
      <c r="IV69" s="7"/>
    </row>
    <row r="70" spans="1:256" s="6" customFormat="1" ht="16.5" customHeight="1" thickBot="1" x14ac:dyDescent="0.25">
      <c r="A70" s="9" t="s">
        <v>69</v>
      </c>
      <c r="E70" s="41">
        <f>E67*E68*E69</f>
        <v>0</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c r="F72" s="10"/>
      <c r="G72" s="10"/>
    </row>
    <row r="73" spans="1:256" ht="18" customHeight="1" x14ac:dyDescent="0.2">
      <c r="A73" s="12" t="s">
        <v>57</v>
      </c>
      <c r="B73" s="12" t="s">
        <v>58</v>
      </c>
      <c r="C73" s="12" t="s">
        <v>59</v>
      </c>
      <c r="D73" s="12" t="s">
        <v>14</v>
      </c>
      <c r="E73" s="12" t="s">
        <v>60</v>
      </c>
      <c r="F73" s="12" t="s">
        <v>61</v>
      </c>
    </row>
    <row r="74" spans="1:256" ht="18" customHeight="1" x14ac:dyDescent="0.2">
      <c r="A74" s="13" t="s">
        <v>62</v>
      </c>
      <c r="B74" s="19" t="s">
        <v>24</v>
      </c>
      <c r="C74" s="17">
        <v>1</v>
      </c>
      <c r="D74" s="17" t="s">
        <v>25</v>
      </c>
      <c r="E74" s="18">
        <v>0</v>
      </c>
      <c r="F74" s="20">
        <f>E74*C74</f>
        <v>0</v>
      </c>
    </row>
    <row r="75" spans="1:256" ht="15" x14ac:dyDescent="0.2">
      <c r="A75" s="13" t="s">
        <v>62</v>
      </c>
      <c r="B75" s="19" t="s">
        <v>63</v>
      </c>
      <c r="C75" s="17">
        <v>1</v>
      </c>
      <c r="D75" s="17" t="s">
        <v>25</v>
      </c>
      <c r="E75" s="18">
        <v>0</v>
      </c>
      <c r="F75" s="20">
        <f>E75*C75</f>
        <v>0</v>
      </c>
    </row>
    <row r="76" spans="1:256" ht="16" thickBot="1" x14ac:dyDescent="0.25">
      <c r="A76" s="21"/>
      <c r="B76" s="21"/>
      <c r="C76" s="21"/>
      <c r="D76" s="21"/>
      <c r="E76" s="22" t="s">
        <v>64</v>
      </c>
      <c r="F76" s="23">
        <f>SUM(F74:F75)</f>
        <v>0</v>
      </c>
    </row>
  </sheetData>
  <autoFilter ref="A2:E15" xr:uid="{B9DFE324-DC59-4577-B881-6DD96FBF83DE}"/>
  <pageMargins left="0.5" right="0.5" top="0.75" bottom="0.75" header="0.27777800000000002" footer="0.27777800000000002"/>
  <pageSetup orientation="portrait" r:id="rId1"/>
  <headerFooter>
    <oddFooter>&amp;C&amp;"Helvetica,Regular"&amp;12&amp;K000000&amp;P_x000D_&amp;1#&amp;"Calibri"&amp;14&amp;K000000 SBU - CONTRACTING AND ACQUISITIONS</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2A4A28A-29B9-4F45-96D4-CD71B163B95F}">
          <x14:formula1>
            <xm:f>'LCATs &amp; Rates'!$A$5:$A$35</xm:f>
          </x14:formula1>
          <xm:sqref>A3:A14 A54:A66 A28:A40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54B9-8BDE-4F36-BE15-07E4F06E3772}">
  <sheetPr>
    <tabColor theme="5"/>
    <pageSetUpPr fitToPage="1"/>
  </sheetPr>
  <dimension ref="A1:IR47"/>
  <sheetViews>
    <sheetView showGridLines="0" tabSelected="1" zoomScaleNormal="100" zoomScalePageLayoutView="125" workbookViewId="0">
      <selection activeCell="I42" sqref="I42"/>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2" ht="18" customHeight="1" x14ac:dyDescent="0.2">
      <c r="A1" s="31" t="s">
        <v>46</v>
      </c>
    </row>
    <row r="2" spans="1:252" s="3" customFormat="1" ht="65" customHeight="1" x14ac:dyDescent="0.2">
      <c r="A2" s="1" t="s">
        <v>47</v>
      </c>
      <c r="B2" s="1" t="s">
        <v>48</v>
      </c>
      <c r="C2" s="1" t="s">
        <v>49</v>
      </c>
      <c r="D2" s="1" t="s">
        <v>72</v>
      </c>
      <c r="E2" s="1" t="s">
        <v>73</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2" ht="18" customHeight="1" x14ac:dyDescent="0.2">
      <c r="A3" s="4" t="s">
        <v>94</v>
      </c>
      <c r="B3" s="4" t="s">
        <v>99</v>
      </c>
      <c r="C3" s="16">
        <f>_xlfn.XLOOKUP(A3,'LCATs &amp; Rates'!$A$5:$A$44,'LCATs &amp; Rates'!$F$5:$F$44)</f>
        <v>186.56</v>
      </c>
      <c r="D3" s="5">
        <v>144</v>
      </c>
      <c r="E3" s="14">
        <f>$C3*$D3</f>
        <v>26864.639999999999</v>
      </c>
    </row>
    <row r="4" spans="1:252" ht="18" customHeight="1" x14ac:dyDescent="0.2">
      <c r="A4" s="4" t="s">
        <v>94</v>
      </c>
      <c r="B4" s="4" t="s">
        <v>102</v>
      </c>
      <c r="C4" s="16">
        <f>_xlfn.XLOOKUP(A4,'LCATs &amp; Rates'!$A$5:$A$44,'LCATs &amp; Rates'!$F$5:$F$44)</f>
        <v>186.56</v>
      </c>
      <c r="D4" s="5">
        <v>72</v>
      </c>
      <c r="E4" s="14">
        <f t="shared" ref="E4:E14" si="0">$C4*$D4</f>
        <v>13432.32</v>
      </c>
    </row>
    <row r="5" spans="1:252" ht="18" customHeight="1" x14ac:dyDescent="0.2">
      <c r="A5" s="4" t="s">
        <v>94</v>
      </c>
      <c r="B5" s="4" t="s">
        <v>100</v>
      </c>
      <c r="C5" s="16">
        <f>_xlfn.XLOOKUP(A5,'LCATs &amp; Rates'!$A$5:$A$44,'LCATs &amp; Rates'!$F$5:$F$44)</f>
        <v>186.56</v>
      </c>
      <c r="D5" s="5">
        <v>144</v>
      </c>
      <c r="E5" s="14">
        <f t="shared" si="0"/>
        <v>26864.639999999999</v>
      </c>
    </row>
    <row r="6" spans="1:252" ht="18" customHeight="1" x14ac:dyDescent="0.2">
      <c r="A6" s="4" t="s">
        <v>94</v>
      </c>
      <c r="B6" s="4" t="s">
        <v>101</v>
      </c>
      <c r="C6" s="16">
        <f>_xlfn.XLOOKUP(A6,'LCATs &amp; Rates'!$A$5:$A$44,'LCATs &amp; Rates'!$F$5:$F$44)</f>
        <v>186.56</v>
      </c>
      <c r="D6" s="5">
        <v>72</v>
      </c>
      <c r="E6" s="14">
        <f t="shared" si="0"/>
        <v>13432.32</v>
      </c>
    </row>
    <row r="7" spans="1:252" ht="18" customHeight="1" x14ac:dyDescent="0.2">
      <c r="A7" s="4"/>
      <c r="B7" s="4"/>
      <c r="C7" s="16">
        <f>_xlfn.XLOOKUP(A7,'LCATs &amp; Rates'!$A$5:$A$44,'LCATs &amp; Rates'!$F$5:$F$44)</f>
        <v>0</v>
      </c>
      <c r="D7" s="5"/>
      <c r="E7" s="14">
        <f t="shared" si="0"/>
        <v>0</v>
      </c>
    </row>
    <row r="8" spans="1:252" ht="18" customHeight="1" x14ac:dyDescent="0.2">
      <c r="A8" s="4"/>
      <c r="B8" s="4"/>
      <c r="C8" s="16">
        <f>_xlfn.XLOOKUP(A8,'LCATs &amp; Rates'!$A$5:$A$44,'LCATs &amp; Rates'!$F$5:$F$44)</f>
        <v>0</v>
      </c>
      <c r="D8" s="5"/>
      <c r="E8" s="14">
        <f t="shared" si="0"/>
        <v>0</v>
      </c>
    </row>
    <row r="9" spans="1:252" ht="18" customHeight="1" x14ac:dyDescent="0.2">
      <c r="A9" s="4"/>
      <c r="B9" s="4"/>
      <c r="C9" s="16">
        <f>_xlfn.XLOOKUP(A9,'LCATs &amp; Rates'!$A$5:$A$44,'LCATs &amp; Rates'!$F$5:$F$44)</f>
        <v>0</v>
      </c>
      <c r="D9" s="5"/>
      <c r="E9" s="14">
        <f t="shared" si="0"/>
        <v>0</v>
      </c>
    </row>
    <row r="10" spans="1:252" ht="18" customHeight="1" x14ac:dyDescent="0.2">
      <c r="A10" s="4"/>
      <c r="B10" s="4"/>
      <c r="C10" s="16">
        <f>_xlfn.XLOOKUP(A10,'LCATs &amp; Rates'!$A$5:$A$44,'LCATs &amp; Rates'!$F$5:$F$44)</f>
        <v>0</v>
      </c>
      <c r="D10" s="5"/>
      <c r="E10" s="14">
        <f t="shared" si="0"/>
        <v>0</v>
      </c>
    </row>
    <row r="11" spans="1:252" ht="18" customHeight="1" x14ac:dyDescent="0.2">
      <c r="A11" s="8"/>
      <c r="B11" s="8"/>
      <c r="C11" s="16">
        <f>_xlfn.XLOOKUP(A11,'LCATs &amp; Rates'!$A$5:$A$44,'LCATs &amp; Rates'!$F$5:$F$44)</f>
        <v>0</v>
      </c>
      <c r="D11" s="5"/>
      <c r="E11" s="14">
        <f t="shared" si="0"/>
        <v>0</v>
      </c>
    </row>
    <row r="12" spans="1:252" ht="18" customHeight="1" x14ac:dyDescent="0.2">
      <c r="A12" s="8"/>
      <c r="B12" s="8"/>
      <c r="C12" s="16">
        <f>_xlfn.XLOOKUP(A12,'LCATs &amp; Rates'!$A$5:$A$44,'LCATs &amp; Rates'!$F$5:$F$44)</f>
        <v>0</v>
      </c>
      <c r="D12" s="5"/>
      <c r="E12" s="14">
        <f t="shared" si="0"/>
        <v>0</v>
      </c>
    </row>
    <row r="13" spans="1:252" ht="18" customHeight="1" x14ac:dyDescent="0.2">
      <c r="A13" s="8"/>
      <c r="B13" s="8"/>
      <c r="C13" s="16">
        <f>_xlfn.XLOOKUP(A13,'LCATs &amp; Rates'!$A$5:$A$44,'LCATs &amp; Rates'!$F$5:$F$44)</f>
        <v>0</v>
      </c>
      <c r="D13" s="5"/>
      <c r="E13" s="14">
        <f t="shared" si="0"/>
        <v>0</v>
      </c>
    </row>
    <row r="14" spans="1:252" ht="18" customHeight="1" thickBot="1" x14ac:dyDescent="0.25">
      <c r="A14" s="8"/>
      <c r="B14" s="8"/>
      <c r="C14" s="16">
        <f>_xlfn.XLOOKUP(A14,'LCATs &amp; Rates'!$A$5:$A$44,'LCATs &amp; Rates'!$F$5:$F$44)</f>
        <v>0</v>
      </c>
      <c r="D14" s="5"/>
      <c r="E14" s="14">
        <f t="shared" si="0"/>
        <v>0</v>
      </c>
    </row>
    <row r="15" spans="1:252" ht="18" customHeight="1" thickBot="1" x14ac:dyDescent="0.25">
      <c r="A15" s="9" t="s">
        <v>74</v>
      </c>
      <c r="B15" s="9"/>
      <c r="C15" s="10"/>
      <c r="D15" s="10"/>
      <c r="E15" s="15">
        <f>SUM(E3:E14)</f>
        <v>80593.920000000013</v>
      </c>
    </row>
    <row r="17" spans="1:5" ht="18" customHeight="1" x14ac:dyDescent="0.2">
      <c r="A17" s="31" t="s">
        <v>65</v>
      </c>
    </row>
    <row r="18" spans="1:5" ht="74.5" customHeight="1" x14ac:dyDescent="0.2">
      <c r="A18" s="1" t="s">
        <v>47</v>
      </c>
      <c r="B18" s="1" t="s">
        <v>48</v>
      </c>
      <c r="C18" s="1" t="s">
        <v>49</v>
      </c>
      <c r="D18" s="1" t="s">
        <v>72</v>
      </c>
      <c r="E18" s="1" t="s">
        <v>75</v>
      </c>
    </row>
    <row r="19" spans="1:5" ht="18" customHeight="1" x14ac:dyDescent="0.2">
      <c r="A19" s="4" t="s">
        <v>94</v>
      </c>
      <c r="B19" s="4" t="s">
        <v>99</v>
      </c>
      <c r="C19" s="16">
        <f>_xlfn.XLOOKUP(A19,'LCATs &amp; Rates'!$A$5:$A$44,'LCATs &amp; Rates'!$G$5:$G$44)</f>
        <v>190.2912</v>
      </c>
      <c r="D19" s="5">
        <v>180</v>
      </c>
      <c r="E19" s="14">
        <f>$C19*$D19</f>
        <v>34252.415999999997</v>
      </c>
    </row>
    <row r="20" spans="1:5" ht="18" customHeight="1" x14ac:dyDescent="0.2">
      <c r="A20" s="4" t="s">
        <v>94</v>
      </c>
      <c r="B20" s="4" t="s">
        <v>102</v>
      </c>
      <c r="C20" s="16">
        <f>_xlfn.XLOOKUP(A20,'LCATs &amp; Rates'!$A$5:$A$44,'LCATs &amp; Rates'!$G$5:$G$44)</f>
        <v>190.2912</v>
      </c>
      <c r="D20" s="5">
        <v>90</v>
      </c>
      <c r="E20" s="14">
        <f t="shared" ref="E20:E30" si="1">$C20*$D20</f>
        <v>17126.207999999999</v>
      </c>
    </row>
    <row r="21" spans="1:5" ht="18" customHeight="1" x14ac:dyDescent="0.2">
      <c r="A21" s="4" t="s">
        <v>94</v>
      </c>
      <c r="B21" s="4" t="s">
        <v>100</v>
      </c>
      <c r="C21" s="16">
        <f>_xlfn.XLOOKUP(A21,'LCATs &amp; Rates'!$A$5:$A$44,'LCATs &amp; Rates'!$G$5:$G$44)</f>
        <v>190.2912</v>
      </c>
      <c r="D21" s="5">
        <v>180</v>
      </c>
      <c r="E21" s="14">
        <f t="shared" si="1"/>
        <v>34252.415999999997</v>
      </c>
    </row>
    <row r="22" spans="1:5" ht="18" customHeight="1" x14ac:dyDescent="0.2">
      <c r="A22" s="4" t="s">
        <v>94</v>
      </c>
      <c r="B22" s="4" t="s">
        <v>101</v>
      </c>
      <c r="C22" s="16">
        <f>_xlfn.XLOOKUP(A22,'LCATs &amp; Rates'!$A$5:$A$44,'LCATs &amp; Rates'!$G$5:$G$44)</f>
        <v>190.2912</v>
      </c>
      <c r="D22" s="5">
        <v>90</v>
      </c>
      <c r="E22" s="14">
        <f t="shared" si="1"/>
        <v>17126.207999999999</v>
      </c>
    </row>
    <row r="23" spans="1:5" ht="18" customHeight="1" x14ac:dyDescent="0.2">
      <c r="A23" s="4"/>
      <c r="B23" s="4"/>
      <c r="C23" s="16">
        <f>_xlfn.XLOOKUP(A23,'LCATs &amp; Rates'!$A$5:$A$44,'LCATs &amp; Rates'!$G$5:$G$44)</f>
        <v>0</v>
      </c>
      <c r="D23" s="5"/>
      <c r="E23" s="14">
        <f t="shared" si="1"/>
        <v>0</v>
      </c>
    </row>
    <row r="24" spans="1:5" ht="18" customHeight="1" x14ac:dyDescent="0.2">
      <c r="A24" s="4"/>
      <c r="B24" s="4"/>
      <c r="C24" s="16">
        <f>_xlfn.XLOOKUP(A24,'LCATs &amp; Rates'!$A$5:$A$44,'LCATs &amp; Rates'!$G$5:$G$44)</f>
        <v>0</v>
      </c>
      <c r="D24" s="5"/>
      <c r="E24" s="14">
        <f t="shared" si="1"/>
        <v>0</v>
      </c>
    </row>
    <row r="25" spans="1:5" ht="18" customHeight="1" x14ac:dyDescent="0.2">
      <c r="A25" s="4"/>
      <c r="B25" s="4"/>
      <c r="C25" s="16">
        <f>_xlfn.XLOOKUP(A25,'LCATs &amp; Rates'!$A$5:$A$44,'LCATs &amp; Rates'!$G$5:$G$44)</f>
        <v>0</v>
      </c>
      <c r="D25" s="5"/>
      <c r="E25" s="14">
        <f t="shared" si="1"/>
        <v>0</v>
      </c>
    </row>
    <row r="26" spans="1:5" ht="18" customHeight="1" x14ac:dyDescent="0.2">
      <c r="A26" s="4"/>
      <c r="B26" s="4"/>
      <c r="C26" s="16">
        <f>_xlfn.XLOOKUP(A26,'LCATs &amp; Rates'!$A$5:$A$44,'LCATs &amp; Rates'!$G$5:$G$44)</f>
        <v>0</v>
      </c>
      <c r="D26" s="5"/>
      <c r="E26" s="14">
        <f t="shared" si="1"/>
        <v>0</v>
      </c>
    </row>
    <row r="27" spans="1:5" ht="18" customHeight="1" x14ac:dyDescent="0.2">
      <c r="A27" s="8"/>
      <c r="B27" s="8"/>
      <c r="C27" s="16">
        <f>_xlfn.XLOOKUP(A27,'LCATs &amp; Rates'!$A$5:$A$44,'LCATs &amp; Rates'!$G$5:$G$44)</f>
        <v>0</v>
      </c>
      <c r="D27" s="5"/>
      <c r="E27" s="14">
        <f t="shared" si="1"/>
        <v>0</v>
      </c>
    </row>
    <row r="28" spans="1:5" ht="18" customHeight="1" x14ac:dyDescent="0.2">
      <c r="A28" s="8"/>
      <c r="B28" s="8"/>
      <c r="C28" s="16">
        <f>_xlfn.XLOOKUP(A28,'LCATs &amp; Rates'!$A$5:$A$44,'LCATs &amp; Rates'!$G$5:$G$44)</f>
        <v>0</v>
      </c>
      <c r="D28" s="5"/>
      <c r="E28" s="14">
        <f t="shared" si="1"/>
        <v>0</v>
      </c>
    </row>
    <row r="29" spans="1:5" ht="18" customHeight="1" x14ac:dyDescent="0.2">
      <c r="A29" s="8"/>
      <c r="B29" s="8"/>
      <c r="C29" s="16">
        <f>_xlfn.XLOOKUP(A29,'LCATs &amp; Rates'!$A$5:$A$44,'LCATs &amp; Rates'!$G$5:$G$44)</f>
        <v>0</v>
      </c>
      <c r="D29" s="5"/>
      <c r="E29" s="14">
        <f t="shared" si="1"/>
        <v>0</v>
      </c>
    </row>
    <row r="30" spans="1:5" ht="18" customHeight="1" thickBot="1" x14ac:dyDescent="0.25">
      <c r="A30" s="8"/>
      <c r="B30" s="8"/>
      <c r="C30" s="16">
        <f>_xlfn.XLOOKUP(A30,'LCATs &amp; Rates'!$A$5:$A$44,'LCATs &amp; Rates'!$G$5:$G$44)</f>
        <v>0</v>
      </c>
      <c r="D30" s="5"/>
      <c r="E30" s="14">
        <f t="shared" si="1"/>
        <v>0</v>
      </c>
    </row>
    <row r="31" spans="1:5" ht="18" customHeight="1" thickBot="1" x14ac:dyDescent="0.25">
      <c r="A31" s="9" t="s">
        <v>74</v>
      </c>
      <c r="B31" s="9"/>
      <c r="C31" s="10"/>
      <c r="D31" s="10"/>
      <c r="E31" s="15">
        <f>SUM(E19:E30)</f>
        <v>102757.24799999999</v>
      </c>
    </row>
    <row r="33" spans="1:5" ht="18" customHeight="1" x14ac:dyDescent="0.2">
      <c r="A33" s="31" t="s">
        <v>68</v>
      </c>
    </row>
    <row r="34" spans="1:5" ht="62.5" customHeight="1" x14ac:dyDescent="0.2">
      <c r="A34" s="1" t="s">
        <v>47</v>
      </c>
      <c r="B34" s="1" t="s">
        <v>48</v>
      </c>
      <c r="C34" s="1" t="s">
        <v>49</v>
      </c>
      <c r="D34" s="1" t="s">
        <v>72</v>
      </c>
      <c r="E34" s="1" t="s">
        <v>76</v>
      </c>
    </row>
    <row r="35" spans="1:5" ht="18" customHeight="1" x14ac:dyDescent="0.2">
      <c r="A35" s="4" t="s">
        <v>94</v>
      </c>
      <c r="B35" s="4" t="s">
        <v>99</v>
      </c>
      <c r="C35" s="16">
        <f>_xlfn.XLOOKUP(A35,'LCATs &amp; Rates'!$A$5:$A$44,'LCATs &amp; Rates'!$G$5:$G$44)</f>
        <v>190.2912</v>
      </c>
      <c r="D35" s="5">
        <v>160</v>
      </c>
      <c r="E35" s="14">
        <f>$C35*$D35</f>
        <v>30446.592000000001</v>
      </c>
    </row>
    <row r="36" spans="1:5" ht="18" customHeight="1" x14ac:dyDescent="0.2">
      <c r="A36" s="4" t="s">
        <v>94</v>
      </c>
      <c r="B36" s="4" t="s">
        <v>102</v>
      </c>
      <c r="C36" s="16">
        <f>_xlfn.XLOOKUP(A36,'LCATs &amp; Rates'!$A$5:$A$44,'LCATs &amp; Rates'!$G$5:$G$44)</f>
        <v>190.2912</v>
      </c>
      <c r="D36" s="5">
        <v>80</v>
      </c>
      <c r="E36" s="14">
        <f t="shared" ref="E36:E46" si="2">$C36*$D36</f>
        <v>15223.296</v>
      </c>
    </row>
    <row r="37" spans="1:5" ht="18" customHeight="1" x14ac:dyDescent="0.2">
      <c r="A37" s="4" t="s">
        <v>94</v>
      </c>
      <c r="B37" s="4" t="s">
        <v>100</v>
      </c>
      <c r="C37" s="16">
        <f>_xlfn.XLOOKUP(A37,'LCATs &amp; Rates'!$A$5:$A$44,'LCATs &amp; Rates'!$G$5:$G$44)</f>
        <v>190.2912</v>
      </c>
      <c r="D37" s="5">
        <v>160</v>
      </c>
      <c r="E37" s="14">
        <f t="shared" si="2"/>
        <v>30446.592000000001</v>
      </c>
    </row>
    <row r="38" spans="1:5" ht="18" customHeight="1" x14ac:dyDescent="0.2">
      <c r="A38" s="4" t="s">
        <v>94</v>
      </c>
      <c r="B38" s="4" t="s">
        <v>101</v>
      </c>
      <c r="C38" s="16">
        <f>_xlfn.XLOOKUP(A38,'LCATs &amp; Rates'!$A$5:$A$44,'LCATs &amp; Rates'!$G$5:$G$44)</f>
        <v>190.2912</v>
      </c>
      <c r="D38" s="5">
        <v>80</v>
      </c>
      <c r="E38" s="14">
        <f t="shared" si="2"/>
        <v>15223.296</v>
      </c>
    </row>
    <row r="39" spans="1:5" ht="18" customHeight="1" x14ac:dyDescent="0.2">
      <c r="A39" s="4"/>
      <c r="B39" s="4"/>
      <c r="C39" s="16">
        <f>_xlfn.XLOOKUP(A39,'LCATs &amp; Rates'!$A$5:$A$44,'LCATs &amp; Rates'!$G$5:$G$44)</f>
        <v>0</v>
      </c>
      <c r="D39" s="5"/>
      <c r="E39" s="14">
        <f t="shared" si="2"/>
        <v>0</v>
      </c>
    </row>
    <row r="40" spans="1:5" ht="18" customHeight="1" x14ac:dyDescent="0.2">
      <c r="A40" s="4"/>
      <c r="B40" s="4"/>
      <c r="C40" s="16">
        <f>_xlfn.XLOOKUP(A40,'LCATs &amp; Rates'!$A$5:$A$44,'LCATs &amp; Rates'!$G$5:$G$44)</f>
        <v>0</v>
      </c>
      <c r="D40" s="5"/>
      <c r="E40" s="14">
        <f t="shared" si="2"/>
        <v>0</v>
      </c>
    </row>
    <row r="41" spans="1:5" ht="18" customHeight="1" x14ac:dyDescent="0.2">
      <c r="A41" s="4"/>
      <c r="B41" s="4"/>
      <c r="C41" s="16">
        <f>_xlfn.XLOOKUP(A41,'LCATs &amp; Rates'!$A$5:$A$44,'LCATs &amp; Rates'!$G$5:$G$44)</f>
        <v>0</v>
      </c>
      <c r="D41" s="5"/>
      <c r="E41" s="14">
        <f t="shared" si="2"/>
        <v>0</v>
      </c>
    </row>
    <row r="42" spans="1:5" ht="18" customHeight="1" x14ac:dyDescent="0.2">
      <c r="A42" s="4"/>
      <c r="B42" s="4"/>
      <c r="C42" s="16">
        <f>_xlfn.XLOOKUP(A42,'LCATs &amp; Rates'!$A$5:$A$44,'LCATs &amp; Rates'!$G$5:$G$44)</f>
        <v>0</v>
      </c>
      <c r="D42" s="5"/>
      <c r="E42" s="14">
        <f t="shared" si="2"/>
        <v>0</v>
      </c>
    </row>
    <row r="43" spans="1:5" ht="18" customHeight="1" x14ac:dyDescent="0.2">
      <c r="A43" s="8"/>
      <c r="B43" s="8"/>
      <c r="C43" s="16">
        <f>_xlfn.XLOOKUP(A43,'LCATs &amp; Rates'!$A$5:$A$44,'LCATs &amp; Rates'!$G$5:$G$44)</f>
        <v>0</v>
      </c>
      <c r="D43" s="5"/>
      <c r="E43" s="14">
        <f t="shared" si="2"/>
        <v>0</v>
      </c>
    </row>
    <row r="44" spans="1:5" ht="18" customHeight="1" x14ac:dyDescent="0.2">
      <c r="A44" s="8"/>
      <c r="B44" s="8"/>
      <c r="C44" s="16">
        <f>_xlfn.XLOOKUP(A44,'LCATs &amp; Rates'!$A$5:$A$44,'LCATs &amp; Rates'!$G$5:$G$44)</f>
        <v>0</v>
      </c>
      <c r="D44" s="5"/>
      <c r="E44" s="14">
        <f t="shared" si="2"/>
        <v>0</v>
      </c>
    </row>
    <row r="45" spans="1:5" ht="18" customHeight="1" x14ac:dyDescent="0.2">
      <c r="A45" s="8"/>
      <c r="B45" s="8"/>
      <c r="C45" s="16">
        <f>_xlfn.XLOOKUP(A45,'LCATs &amp; Rates'!$A$5:$A$44,'LCATs &amp; Rates'!$G$5:$G$44)</f>
        <v>0</v>
      </c>
      <c r="D45" s="5"/>
      <c r="E45" s="14">
        <f t="shared" si="2"/>
        <v>0</v>
      </c>
    </row>
    <row r="46" spans="1:5" ht="18" customHeight="1" thickBot="1" x14ac:dyDescent="0.25">
      <c r="A46" s="8"/>
      <c r="B46" s="8"/>
      <c r="C46" s="16">
        <f>_xlfn.XLOOKUP(A46,'LCATs &amp; Rates'!$A$5:$A$44,'LCATs &amp; Rates'!$G$5:$G$44)</f>
        <v>0</v>
      </c>
      <c r="D46" s="5"/>
      <c r="E46" s="14">
        <f t="shared" si="2"/>
        <v>0</v>
      </c>
    </row>
    <row r="47" spans="1:5" ht="18" customHeight="1" thickBot="1" x14ac:dyDescent="0.25">
      <c r="A47" s="9" t="s">
        <v>74</v>
      </c>
      <c r="B47" s="9"/>
      <c r="C47" s="10"/>
      <c r="D47" s="10"/>
      <c r="E47" s="15">
        <f>SUM(E35:E46)</f>
        <v>91339.775999999998</v>
      </c>
    </row>
  </sheetData>
  <autoFilter ref="A2:E15" xr:uid="{B9DFE324-DC59-4577-B881-6DD96FBF83DE}"/>
  <pageMargins left="0.5" right="0.5" top="0.75" bottom="0.75" header="0.27777800000000002" footer="0.27777800000000002"/>
  <pageSetup orientation="portrait" r:id="rId1"/>
  <headerFooter>
    <oddFooter>&amp;C&amp;"Helvetica,Regular"&amp;12&amp;K000000&amp;P_x000D_&amp;1#&amp;"Calibri"&amp;14&amp;K000000 SBU - CONTRACTING AND ACQUISITIONS</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03D2308-720C-4D5E-9835-87F77EFF4B60}">
          <x14:formula1>
            <xm:f>'LCATs &amp; Rates'!$A$5:$A$35</xm:f>
          </x14:formula1>
          <xm:sqref>A3:A14 A19:A30 A35:A46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CA801-3957-443D-A35D-A4139CCBD30E}">
  <sheetPr>
    <tabColor theme="5"/>
    <pageSetUpPr fitToPage="1"/>
  </sheetPr>
  <dimension ref="A1:IV76"/>
  <sheetViews>
    <sheetView showGridLines="0" topLeftCell="A62" zoomScale="105" zoomScaleNormal="145" zoomScalePageLayoutView="125" workbookViewId="0">
      <selection activeCell="E68" sqref="E68:E69"/>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6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c r="B3" s="4"/>
      <c r="C3" s="16">
        <f>_xlfn.XLOOKUP(A3,'LCATs &amp; Rates'!$A$5:$A$44,'LCATs &amp; Rates'!$F$5:$F$44)</f>
        <v>0</v>
      </c>
      <c r="D3" s="5"/>
      <c r="E3" s="14">
        <f>$C3*$D3</f>
        <v>0</v>
      </c>
    </row>
    <row r="4" spans="1:256" ht="18" customHeight="1" x14ac:dyDescent="0.2">
      <c r="A4" s="4"/>
      <c r="B4" s="4"/>
      <c r="C4" s="16">
        <f>_xlfn.XLOOKUP(A4,'LCATs &amp; Rates'!$A$5:$A$44,'LCATs &amp; Rates'!$F$5:$F$44)</f>
        <v>0</v>
      </c>
      <c r="D4" s="5"/>
      <c r="E4" s="14">
        <f t="shared" ref="E4:E14" si="0">$C4*$D4</f>
        <v>0</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x14ac:dyDescent="0.2">
      <c r="A14" s="8"/>
      <c r="B14" s="8"/>
      <c r="C14" s="16">
        <f>_xlfn.XLOOKUP(A14,'LCATs &amp; Rates'!$A$5:$A$44,'LCATs &amp; Rates'!$F$5:$F$44)</f>
        <v>0</v>
      </c>
      <c r="D14" s="5"/>
      <c r="E14" s="14">
        <f t="shared" si="0"/>
        <v>0</v>
      </c>
    </row>
    <row r="15" spans="1:256" ht="18" customHeight="1" x14ac:dyDescent="0.2">
      <c r="A15" s="9" t="s">
        <v>52</v>
      </c>
      <c r="B15" s="9"/>
      <c r="C15" s="10"/>
      <c r="D15" s="10"/>
      <c r="E15" s="15">
        <f>SUM(E3:E14)</f>
        <v>0</v>
      </c>
    </row>
    <row r="16" spans="1:256" s="6" customFormat="1" ht="18" customHeight="1" x14ac:dyDescent="0.2">
      <c r="A16" s="9" t="s">
        <v>77</v>
      </c>
      <c r="E16" s="42">
        <v>2</v>
      </c>
      <c r="IS16" s="7"/>
      <c r="IT16" s="7"/>
      <c r="IU16" s="7"/>
      <c r="IV16" s="7"/>
    </row>
    <row r="17" spans="1:256" s="6" customFormat="1" ht="16.5" customHeight="1" x14ac:dyDescent="0.2">
      <c r="A17" s="9" t="s">
        <v>78</v>
      </c>
      <c r="E17" s="42">
        <v>26</v>
      </c>
      <c r="IS17" s="7"/>
      <c r="IT17" s="7"/>
      <c r="IU17" s="7"/>
      <c r="IV17" s="7"/>
    </row>
    <row r="18" spans="1:256" s="6" customFormat="1" ht="16.5" customHeight="1" x14ac:dyDescent="0.2">
      <c r="A18" s="9" t="s">
        <v>55</v>
      </c>
      <c r="E18" s="40">
        <f>E15*E16*E17</f>
        <v>0</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S20" s="11"/>
      <c r="IT20" s="11"/>
      <c r="IU20" s="11"/>
      <c r="IV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row>
    <row r="22" spans="1:256" s="11" customFormat="1" ht="15" x14ac:dyDescent="0.2">
      <c r="A22" s="13" t="s">
        <v>62</v>
      </c>
      <c r="B22" s="19" t="s">
        <v>24</v>
      </c>
      <c r="C22" s="17">
        <v>1</v>
      </c>
      <c r="D22" s="17" t="s">
        <v>25</v>
      </c>
      <c r="E22" s="18">
        <v>50000</v>
      </c>
      <c r="F22" s="20">
        <f>E22*C22</f>
        <v>50000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row>
    <row r="23" spans="1:256" s="11" customFormat="1" ht="15" x14ac:dyDescent="0.2">
      <c r="A23" s="13" t="s">
        <v>62</v>
      </c>
      <c r="B23" s="19" t="s">
        <v>63</v>
      </c>
      <c r="C23" s="17">
        <v>1</v>
      </c>
      <c r="D23" s="17" t="s">
        <v>25</v>
      </c>
      <c r="E23" s="18">
        <v>10000</v>
      </c>
      <c r="F23" s="20">
        <f>E23*C23</f>
        <v>10000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row>
    <row r="24" spans="1:256" s="11" customFormat="1" ht="15" x14ac:dyDescent="0.2">
      <c r="A24" s="21"/>
      <c r="B24" s="21"/>
      <c r="C24" s="21"/>
      <c r="D24" s="21"/>
      <c r="E24" s="22" t="s">
        <v>64</v>
      </c>
      <c r="F24" s="23">
        <f>SUM(F22:F23)</f>
        <v>60000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row>
    <row r="27" spans="1:256" ht="18" customHeight="1" x14ac:dyDescent="0.2">
      <c r="A27" s="31" t="s">
        <v>65</v>
      </c>
    </row>
    <row r="28" spans="1:256" ht="18" customHeight="1" x14ac:dyDescent="0.2">
      <c r="A28" s="1" t="s">
        <v>47</v>
      </c>
      <c r="B28" s="1" t="s">
        <v>48</v>
      </c>
      <c r="C28" s="1" t="s">
        <v>49</v>
      </c>
      <c r="D28" s="1" t="s">
        <v>50</v>
      </c>
      <c r="E28" s="1" t="s">
        <v>66</v>
      </c>
    </row>
    <row r="29" spans="1:256" ht="18" customHeight="1" x14ac:dyDescent="0.2">
      <c r="A29" s="4"/>
      <c r="B29" s="4"/>
      <c r="C29" s="16">
        <f>_xlfn.XLOOKUP(A29,'LCATs &amp; Rates'!$A$5:$A$44,'LCATs &amp; Rates'!$G$5:$G$44)</f>
        <v>0</v>
      </c>
      <c r="D29" s="5"/>
      <c r="E29" s="14">
        <f>$C29*$D29</f>
        <v>0</v>
      </c>
    </row>
    <row r="30" spans="1:256" ht="18" customHeight="1" x14ac:dyDescent="0.2">
      <c r="A30" s="4"/>
      <c r="B30" s="4"/>
      <c r="C30" s="16">
        <f>_xlfn.XLOOKUP(A30,'LCATs &amp; Rates'!$A$5:$A$44,'LCATs &amp; Rates'!$G$5:$G$44)</f>
        <v>0</v>
      </c>
      <c r="D30" s="5"/>
      <c r="E30" s="14">
        <f t="shared" ref="E30:E40" si="1">$C30*$D30</f>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x14ac:dyDescent="0.2">
      <c r="A40" s="8"/>
      <c r="B40" s="8"/>
      <c r="C40" s="16">
        <f>_xlfn.XLOOKUP(A40,'LCATs &amp; Rates'!$A$5:$A$44,'LCATs &amp; Rates'!$G$5:$G$44)</f>
        <v>0</v>
      </c>
      <c r="D40" s="5"/>
      <c r="E40" s="14">
        <f t="shared" si="1"/>
        <v>0</v>
      </c>
    </row>
    <row r="41" spans="1:256" ht="18" customHeight="1" x14ac:dyDescent="0.2">
      <c r="A41" s="9" t="s">
        <v>52</v>
      </c>
      <c r="B41" s="9"/>
      <c r="C41" s="10"/>
      <c r="D41" s="10"/>
      <c r="E41" s="15">
        <f>SUM(E29:E40)</f>
        <v>0</v>
      </c>
    </row>
    <row r="42" spans="1:256" s="6" customFormat="1" ht="18" customHeight="1" x14ac:dyDescent="0.2">
      <c r="A42" s="9" t="s">
        <v>53</v>
      </c>
      <c r="E42" s="42">
        <v>2</v>
      </c>
      <c r="IS42" s="7"/>
      <c r="IT42" s="7"/>
      <c r="IU42" s="7"/>
      <c r="IV42" s="7"/>
    </row>
    <row r="43" spans="1:256" s="6" customFormat="1" ht="16.5" customHeight="1" x14ac:dyDescent="0.2">
      <c r="A43" s="9" t="s">
        <v>54</v>
      </c>
      <c r="E43" s="42">
        <v>26</v>
      </c>
      <c r="IS43" s="7"/>
      <c r="IT43" s="7"/>
      <c r="IU43" s="7"/>
      <c r="IV43" s="7"/>
    </row>
    <row r="44" spans="1:256" s="6" customFormat="1" ht="16.5" customHeight="1" x14ac:dyDescent="0.2">
      <c r="A44" s="9" t="s">
        <v>67</v>
      </c>
      <c r="E44" s="40">
        <f>E41*E42*E43</f>
        <v>0</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row>
    <row r="47" spans="1:256" ht="15" x14ac:dyDescent="0.2">
      <c r="A47" s="12" t="s">
        <v>57</v>
      </c>
      <c r="B47" s="12" t="s">
        <v>58</v>
      </c>
      <c r="C47" s="12" t="s">
        <v>59</v>
      </c>
      <c r="D47" s="12" t="s">
        <v>14</v>
      </c>
      <c r="E47" s="12" t="s">
        <v>60</v>
      </c>
      <c r="F47" s="12" t="s">
        <v>61</v>
      </c>
    </row>
    <row r="48" spans="1:256" ht="18" customHeight="1" x14ac:dyDescent="0.2">
      <c r="A48" s="13" t="s">
        <v>62</v>
      </c>
      <c r="B48" s="19" t="s">
        <v>24</v>
      </c>
      <c r="C48" s="17">
        <v>1</v>
      </c>
      <c r="D48" s="17" t="s">
        <v>25</v>
      </c>
      <c r="E48" s="18">
        <v>50000</v>
      </c>
      <c r="F48" s="20">
        <f>E48*C48</f>
        <v>50000</v>
      </c>
    </row>
    <row r="49" spans="1:6" ht="15" x14ac:dyDescent="0.2">
      <c r="A49" s="13" t="s">
        <v>62</v>
      </c>
      <c r="B49" s="19" t="s">
        <v>63</v>
      </c>
      <c r="C49" s="17">
        <v>1</v>
      </c>
      <c r="D49" s="17" t="s">
        <v>25</v>
      </c>
      <c r="E49" s="18">
        <v>10000</v>
      </c>
      <c r="F49" s="20">
        <f>E49*C49</f>
        <v>10000</v>
      </c>
    </row>
    <row r="50" spans="1:6" ht="15" x14ac:dyDescent="0.2">
      <c r="A50" s="21"/>
      <c r="B50" s="21"/>
      <c r="C50" s="21"/>
      <c r="D50" s="21"/>
      <c r="E50" s="22" t="s">
        <v>64</v>
      </c>
      <c r="F50" s="23">
        <f>SUM(F48:F49)</f>
        <v>60000</v>
      </c>
    </row>
    <row r="53" spans="1:6" ht="18" customHeight="1" x14ac:dyDescent="0.2">
      <c r="A53" s="31" t="s">
        <v>68</v>
      </c>
    </row>
    <row r="54" spans="1:6" ht="18" customHeight="1" x14ac:dyDescent="0.2">
      <c r="A54" s="1" t="s">
        <v>47</v>
      </c>
      <c r="B54" s="1" t="s">
        <v>48</v>
      </c>
      <c r="C54" s="1" t="s">
        <v>49</v>
      </c>
      <c r="D54" s="1" t="s">
        <v>50</v>
      </c>
      <c r="E54" s="1" t="s">
        <v>66</v>
      </c>
    </row>
    <row r="55" spans="1:6" ht="18" customHeight="1" x14ac:dyDescent="0.2">
      <c r="A55" s="4"/>
      <c r="B55" s="4"/>
      <c r="C55" s="16">
        <f>_xlfn.XLOOKUP(A55,'LCATs &amp; Rates'!$A$5:$A$44,'LCATs &amp; Rates'!$H$5:$H$44)</f>
        <v>0</v>
      </c>
      <c r="D55" s="5"/>
      <c r="E55" s="14">
        <f>$C55*$D55</f>
        <v>0</v>
      </c>
    </row>
    <row r="56" spans="1:6" ht="18" customHeight="1" x14ac:dyDescent="0.2">
      <c r="A56" s="4"/>
      <c r="B56" s="4"/>
      <c r="C56" s="16">
        <f>_xlfn.XLOOKUP(A56,'LCATs &amp; Rates'!$A$5:$A$44,'LCATs &amp; Rates'!$H$5:$H$44)</f>
        <v>0</v>
      </c>
      <c r="D56" s="5"/>
      <c r="E56" s="14">
        <f t="shared" ref="E56:E66" si="2">$C56*$D56</f>
        <v>0</v>
      </c>
    </row>
    <row r="57" spans="1:6" ht="18" customHeight="1" x14ac:dyDescent="0.2">
      <c r="A57" s="4"/>
      <c r="B57" s="4"/>
      <c r="C57" s="16">
        <f>_xlfn.XLOOKUP(A57,'LCATs &amp; Rates'!$A$5:$A$44,'LCATs &amp; Rates'!$H$5:$H$44)</f>
        <v>0</v>
      </c>
      <c r="D57" s="5"/>
      <c r="E57" s="14">
        <f t="shared" si="2"/>
        <v>0</v>
      </c>
    </row>
    <row r="58" spans="1:6" ht="18" customHeight="1" x14ac:dyDescent="0.2">
      <c r="A58" s="4"/>
      <c r="B58" s="4"/>
      <c r="C58" s="16">
        <f>_xlfn.XLOOKUP(A58,'LCATs &amp; Rates'!$A$5:$A$44,'LCATs &amp; Rates'!$H$5:$H$44)</f>
        <v>0</v>
      </c>
      <c r="D58" s="5"/>
      <c r="E58" s="14">
        <f t="shared" si="2"/>
        <v>0</v>
      </c>
    </row>
    <row r="59" spans="1:6" ht="18" customHeight="1" x14ac:dyDescent="0.2">
      <c r="A59" s="4"/>
      <c r="B59" s="4"/>
      <c r="C59" s="16">
        <f>_xlfn.XLOOKUP(A59,'LCATs &amp; Rates'!$A$5:$A$44,'LCATs &amp; Rates'!$H$5:$H$44)</f>
        <v>0</v>
      </c>
      <c r="D59" s="5"/>
      <c r="E59" s="14">
        <f t="shared" si="2"/>
        <v>0</v>
      </c>
    </row>
    <row r="60" spans="1:6" ht="18" customHeight="1" x14ac:dyDescent="0.2">
      <c r="A60" s="4"/>
      <c r="B60" s="4"/>
      <c r="C60" s="16">
        <f>_xlfn.XLOOKUP(A60,'LCATs &amp; Rates'!$A$5:$A$44,'LCATs &amp; Rates'!$H$5:$H$44)</f>
        <v>0</v>
      </c>
      <c r="D60" s="5"/>
      <c r="E60" s="14">
        <f t="shared" si="2"/>
        <v>0</v>
      </c>
    </row>
    <row r="61" spans="1:6" ht="18" customHeight="1" x14ac:dyDescent="0.2">
      <c r="A61" s="4"/>
      <c r="B61" s="4"/>
      <c r="C61" s="16">
        <f>_xlfn.XLOOKUP(A61,'LCATs &amp; Rates'!$A$5:$A$44,'LCATs &amp; Rates'!$H$5:$H$44)</f>
        <v>0</v>
      </c>
      <c r="D61" s="5"/>
      <c r="E61" s="14">
        <f t="shared" si="2"/>
        <v>0</v>
      </c>
    </row>
    <row r="62" spans="1:6" ht="18" customHeight="1" x14ac:dyDescent="0.2">
      <c r="A62" s="4"/>
      <c r="B62" s="4"/>
      <c r="C62" s="16">
        <f>_xlfn.XLOOKUP(A62,'LCATs &amp; Rates'!$A$5:$A$44,'LCATs &amp; Rates'!$H$5:$H$44)</f>
        <v>0</v>
      </c>
      <c r="D62" s="5"/>
      <c r="E62" s="14">
        <f t="shared" si="2"/>
        <v>0</v>
      </c>
    </row>
    <row r="63" spans="1:6" ht="18" customHeight="1" x14ac:dyDescent="0.2">
      <c r="A63" s="8"/>
      <c r="B63" s="8"/>
      <c r="C63" s="16">
        <f>_xlfn.XLOOKUP(A63,'LCATs &amp; Rates'!$A$5:$A$44,'LCATs &amp; Rates'!$H$5:$H$44)</f>
        <v>0</v>
      </c>
      <c r="D63" s="5"/>
      <c r="E63" s="14">
        <f t="shared" si="2"/>
        <v>0</v>
      </c>
    </row>
    <row r="64" spans="1:6" ht="18" customHeight="1" x14ac:dyDescent="0.2">
      <c r="A64" s="8"/>
      <c r="B64" s="8"/>
      <c r="C64" s="16">
        <f>_xlfn.XLOOKUP(A64,'LCATs &amp; Rates'!$A$5:$A$44,'LCATs &amp; Rates'!$H$5:$H$44)</f>
        <v>0</v>
      </c>
      <c r="D64" s="5"/>
      <c r="E64" s="14">
        <f t="shared" si="2"/>
        <v>0</v>
      </c>
    </row>
    <row r="65" spans="1:256" ht="18" customHeight="1" x14ac:dyDescent="0.2">
      <c r="A65" s="8"/>
      <c r="B65" s="8"/>
      <c r="C65" s="16">
        <f>_xlfn.XLOOKUP(A65,'LCATs &amp; Rates'!$A$5:$A$44,'LCATs &amp; Rates'!$H$5:$H$44)</f>
        <v>0</v>
      </c>
      <c r="D65" s="5"/>
      <c r="E65" s="14">
        <f t="shared" si="2"/>
        <v>0</v>
      </c>
    </row>
    <row r="66" spans="1:256" ht="18" customHeight="1" x14ac:dyDescent="0.2">
      <c r="A66" s="8"/>
      <c r="B66" s="8"/>
      <c r="C66" s="16">
        <f>_xlfn.XLOOKUP(A66,'LCATs &amp; Rates'!$A$5:$A$44,'LCATs &amp; Rates'!$H$5:$H$44)</f>
        <v>0</v>
      </c>
      <c r="D66" s="5"/>
      <c r="E66" s="14">
        <f t="shared" si="2"/>
        <v>0</v>
      </c>
    </row>
    <row r="67" spans="1:256" ht="18" customHeight="1" x14ac:dyDescent="0.2">
      <c r="A67" s="9" t="s">
        <v>52</v>
      </c>
      <c r="B67" s="9"/>
      <c r="C67" s="10"/>
      <c r="D67" s="10"/>
      <c r="E67" s="15">
        <f>SUM(E55:E66)</f>
        <v>0</v>
      </c>
    </row>
    <row r="68" spans="1:256" s="6" customFormat="1" ht="18" customHeight="1" x14ac:dyDescent="0.2">
      <c r="A68" s="9" t="s">
        <v>53</v>
      </c>
      <c r="E68" s="42">
        <v>2</v>
      </c>
      <c r="IS68" s="7"/>
      <c r="IT68" s="7"/>
      <c r="IU68" s="7"/>
      <c r="IV68" s="7"/>
    </row>
    <row r="69" spans="1:256" s="6" customFormat="1" ht="16.5" customHeight="1" x14ac:dyDescent="0.2">
      <c r="A69" s="9" t="s">
        <v>54</v>
      </c>
      <c r="E69" s="42">
        <v>26</v>
      </c>
      <c r="IS69" s="7"/>
      <c r="IT69" s="7"/>
      <c r="IU69" s="7"/>
      <c r="IV69" s="7"/>
    </row>
    <row r="70" spans="1:256" s="6" customFormat="1" ht="16.5" customHeight="1" x14ac:dyDescent="0.2">
      <c r="A70" s="9" t="s">
        <v>69</v>
      </c>
      <c r="E70" s="40">
        <f>E67*E68*E69</f>
        <v>0</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row>
    <row r="73" spans="1:256" ht="15" x14ac:dyDescent="0.2">
      <c r="A73" s="12" t="s">
        <v>57</v>
      </c>
      <c r="B73" s="12" t="s">
        <v>58</v>
      </c>
      <c r="C73" s="12" t="s">
        <v>59</v>
      </c>
      <c r="D73" s="12" t="s">
        <v>14</v>
      </c>
      <c r="E73" s="12" t="s">
        <v>60</v>
      </c>
      <c r="F73" s="12" t="s">
        <v>61</v>
      </c>
    </row>
    <row r="74" spans="1:256" ht="18" customHeight="1" x14ac:dyDescent="0.2">
      <c r="A74" s="13" t="s">
        <v>62</v>
      </c>
      <c r="B74" s="19" t="s">
        <v>24</v>
      </c>
      <c r="C74" s="17">
        <v>1</v>
      </c>
      <c r="D74" s="17" t="s">
        <v>25</v>
      </c>
      <c r="E74" s="18">
        <v>50000</v>
      </c>
      <c r="F74" s="20">
        <f>E74*C74</f>
        <v>50000</v>
      </c>
    </row>
    <row r="75" spans="1:256" ht="15" x14ac:dyDescent="0.2">
      <c r="A75" s="13" t="s">
        <v>62</v>
      </c>
      <c r="B75" s="19" t="s">
        <v>63</v>
      </c>
      <c r="C75" s="17">
        <v>1</v>
      </c>
      <c r="D75" s="17" t="s">
        <v>25</v>
      </c>
      <c r="E75" s="18">
        <v>10000</v>
      </c>
      <c r="F75" s="20">
        <f>E75*C75</f>
        <v>10000</v>
      </c>
    </row>
    <row r="76" spans="1:256" ht="15" x14ac:dyDescent="0.2">
      <c r="A76" s="21"/>
      <c r="B76" s="21"/>
      <c r="C76" s="21"/>
      <c r="D76" s="21"/>
      <c r="E76" s="22" t="s">
        <v>64</v>
      </c>
      <c r="F76" s="23">
        <f>SUM(F74:F75)</f>
        <v>60000</v>
      </c>
    </row>
  </sheetData>
  <autoFilter ref="A2:E15" xr:uid="{B9DFE324-DC59-4577-B881-6DD96FBF83DE}"/>
  <pageMargins left="0.5" right="0.5" top="0.75" bottom="0.75" header="0.27777800000000002" footer="0.27777800000000002"/>
  <pageSetup orientation="portrait"/>
  <headerFooter>
    <oddFooter>&amp;C&amp;"Helvetica,Regular"&amp;12&amp;K000000&amp;P_x000D_&amp;1#&amp;"Calibri"&amp;14&amp;K000000 SBU - CONTRACTING AND ACQUISITIONS</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11552AF-F755-4FBB-8B9C-0D7DC624ABBB}">
          <x14:formula1>
            <xm:f>'LCATs &amp; Rates'!$A$5:$A$35</xm:f>
          </x14:formula1>
          <xm:sqref>A3:A14 A29:A40 A55:A66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CBF9-36DA-4337-89E5-833896C56378}">
  <sheetPr>
    <tabColor theme="5"/>
    <pageSetUpPr fitToPage="1"/>
  </sheetPr>
  <dimension ref="A1:IV76"/>
  <sheetViews>
    <sheetView showGridLines="0" zoomScale="105" zoomScaleNormal="145" zoomScalePageLayoutView="125" workbookViewId="0">
      <selection activeCell="E68" sqref="E68:E69"/>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63.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c r="B3" s="4"/>
      <c r="C3" s="16">
        <f>_xlfn.XLOOKUP(A3,'LCATs &amp; Rates'!$A$5:$A$44,'LCATs &amp; Rates'!$F$5:$F$44)</f>
        <v>0</v>
      </c>
      <c r="D3" s="5"/>
      <c r="E3" s="14">
        <f>$C3*$D3</f>
        <v>0</v>
      </c>
    </row>
    <row r="4" spans="1:256" ht="18" customHeight="1" x14ac:dyDescent="0.2">
      <c r="A4" s="4"/>
      <c r="B4" s="4"/>
      <c r="C4" s="16">
        <f>_xlfn.XLOOKUP(A4,'LCATs &amp; Rates'!$A$5:$A$44,'LCATs &amp; Rates'!$F$5:$F$44)</f>
        <v>0</v>
      </c>
      <c r="D4" s="5"/>
      <c r="E4" s="14">
        <f t="shared" ref="E4:E14" si="0">$C4*$D4</f>
        <v>0</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x14ac:dyDescent="0.2">
      <c r="A14" s="8"/>
      <c r="B14" s="8"/>
      <c r="C14" s="16">
        <f>_xlfn.XLOOKUP(A14,'LCATs &amp; Rates'!$A$5:$A$44,'LCATs &amp; Rates'!$F$5:$F$44)</f>
        <v>0</v>
      </c>
      <c r="D14" s="5"/>
      <c r="E14" s="14">
        <f t="shared" si="0"/>
        <v>0</v>
      </c>
    </row>
    <row r="15" spans="1:256" ht="18" customHeight="1" x14ac:dyDescent="0.2">
      <c r="A15" s="9" t="s">
        <v>52</v>
      </c>
      <c r="B15" s="9"/>
      <c r="C15" s="10"/>
      <c r="D15" s="10"/>
      <c r="E15" s="15">
        <f>SUM(E3:E14)</f>
        <v>0</v>
      </c>
    </row>
    <row r="16" spans="1:256" s="6" customFormat="1" ht="18" customHeight="1" x14ac:dyDescent="0.2">
      <c r="A16" s="9" t="s">
        <v>53</v>
      </c>
      <c r="E16" s="42">
        <v>2</v>
      </c>
      <c r="IS16" s="7"/>
      <c r="IT16" s="7"/>
      <c r="IU16" s="7"/>
      <c r="IV16" s="7"/>
    </row>
    <row r="17" spans="1:256" s="6" customFormat="1" ht="16.5" customHeight="1" x14ac:dyDescent="0.2">
      <c r="A17" s="9" t="s">
        <v>54</v>
      </c>
      <c r="E17" s="42">
        <v>26</v>
      </c>
      <c r="IS17" s="7"/>
      <c r="IT17" s="7"/>
      <c r="IU17" s="7"/>
      <c r="IV17" s="7"/>
    </row>
    <row r="18" spans="1:256" s="6" customFormat="1" ht="16.5" customHeight="1" x14ac:dyDescent="0.2">
      <c r="A18" s="9" t="s">
        <v>55</v>
      </c>
      <c r="E18" s="41">
        <f>E15*E16*E17</f>
        <v>0</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S20" s="11"/>
      <c r="IT20" s="11"/>
      <c r="IU20" s="11"/>
      <c r="IV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row>
    <row r="22" spans="1:256" s="11" customFormat="1" ht="18" customHeight="1" x14ac:dyDescent="0.2">
      <c r="A22" s="13" t="s">
        <v>62</v>
      </c>
      <c r="B22" s="19" t="s">
        <v>24</v>
      </c>
      <c r="C22" s="17">
        <v>1</v>
      </c>
      <c r="D22" s="17" t="s">
        <v>25</v>
      </c>
      <c r="E22" s="18">
        <v>0</v>
      </c>
      <c r="F22" s="20">
        <f>E22*C22</f>
        <v>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row>
    <row r="23" spans="1:256" s="11" customFormat="1" ht="18" customHeight="1" x14ac:dyDescent="0.2">
      <c r="A23" s="13" t="s">
        <v>62</v>
      </c>
      <c r="B23" s="19" t="s">
        <v>63</v>
      </c>
      <c r="C23" s="17">
        <v>1</v>
      </c>
      <c r="D23" s="17" t="s">
        <v>25</v>
      </c>
      <c r="E23" s="18">
        <v>0</v>
      </c>
      <c r="F23" s="20">
        <f>E23*C23</f>
        <v>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row>
    <row r="24" spans="1:256" s="11" customFormat="1" ht="15" x14ac:dyDescent="0.2">
      <c r="A24" s="21"/>
      <c r="B24" s="21"/>
      <c r="C24" s="21"/>
      <c r="D24" s="21"/>
      <c r="E24" s="22" t="s">
        <v>64</v>
      </c>
      <c r="F24" s="23">
        <f>SUM(F22:F23)</f>
        <v>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row>
    <row r="27" spans="1:256" ht="18" customHeight="1" x14ac:dyDescent="0.2">
      <c r="A27" s="31" t="s">
        <v>65</v>
      </c>
    </row>
    <row r="28" spans="1:256" ht="18" customHeight="1" x14ac:dyDescent="0.2">
      <c r="A28" s="1" t="s">
        <v>47</v>
      </c>
      <c r="B28" s="1" t="s">
        <v>48</v>
      </c>
      <c r="C28" s="1" t="s">
        <v>49</v>
      </c>
      <c r="D28" s="1" t="s">
        <v>50</v>
      </c>
      <c r="E28" s="1" t="s">
        <v>66</v>
      </c>
    </row>
    <row r="29" spans="1:256" ht="18" customHeight="1" x14ac:dyDescent="0.2">
      <c r="A29" s="4"/>
      <c r="B29" s="4"/>
      <c r="C29" s="16">
        <f>_xlfn.XLOOKUP(A29,'LCATs &amp; Rates'!$A$5:$A$44,'LCATs &amp; Rates'!$G$5:$G$44)</f>
        <v>0</v>
      </c>
      <c r="D29" s="5"/>
      <c r="E29" s="14">
        <f>$C29*$D29</f>
        <v>0</v>
      </c>
    </row>
    <row r="30" spans="1:256" ht="18" customHeight="1" x14ac:dyDescent="0.2">
      <c r="A30" s="4"/>
      <c r="B30" s="4"/>
      <c r="C30" s="16">
        <f>_xlfn.XLOOKUP(A30,'LCATs &amp; Rates'!$A$5:$A$44,'LCATs &amp; Rates'!$G$5:$G$44)</f>
        <v>0</v>
      </c>
      <c r="D30" s="5"/>
      <c r="E30" s="14">
        <f t="shared" ref="E30:E40" si="1">$C30*$D30</f>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x14ac:dyDescent="0.2">
      <c r="A40" s="8"/>
      <c r="B40" s="8"/>
      <c r="C40" s="16">
        <f>_xlfn.XLOOKUP(A40,'LCATs &amp; Rates'!$A$5:$A$44,'LCATs &amp; Rates'!$G$5:$G$44)</f>
        <v>0</v>
      </c>
      <c r="D40" s="5"/>
      <c r="E40" s="14">
        <f t="shared" si="1"/>
        <v>0</v>
      </c>
    </row>
    <row r="41" spans="1:256" ht="18" customHeight="1" x14ac:dyDescent="0.2">
      <c r="A41" s="9" t="s">
        <v>52</v>
      </c>
      <c r="B41" s="9"/>
      <c r="C41" s="10"/>
      <c r="D41" s="10"/>
      <c r="E41" s="15">
        <f>SUM(E29:E40)</f>
        <v>0</v>
      </c>
    </row>
    <row r="42" spans="1:256" s="6" customFormat="1" ht="18" customHeight="1" x14ac:dyDescent="0.2">
      <c r="A42" s="9" t="s">
        <v>53</v>
      </c>
      <c r="E42" s="42">
        <v>2</v>
      </c>
      <c r="IS42" s="7"/>
      <c r="IT42" s="7"/>
      <c r="IU42" s="7"/>
      <c r="IV42" s="7"/>
    </row>
    <row r="43" spans="1:256" s="6" customFormat="1" ht="16.5" customHeight="1" x14ac:dyDescent="0.2">
      <c r="A43" s="9" t="s">
        <v>54</v>
      </c>
      <c r="E43" s="42">
        <v>26</v>
      </c>
      <c r="IS43" s="7"/>
      <c r="IT43" s="7"/>
      <c r="IU43" s="7"/>
      <c r="IV43" s="7"/>
    </row>
    <row r="44" spans="1:256" s="6" customFormat="1" ht="16.5" customHeight="1" x14ac:dyDescent="0.2">
      <c r="A44" s="9" t="s">
        <v>67</v>
      </c>
      <c r="E44" s="41">
        <f>E41*E42*E43</f>
        <v>0</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row>
    <row r="47" spans="1:256" ht="18" customHeight="1" x14ac:dyDescent="0.2">
      <c r="A47" s="12" t="s">
        <v>57</v>
      </c>
      <c r="B47" s="12" t="s">
        <v>58</v>
      </c>
      <c r="C47" s="12" t="s">
        <v>59</v>
      </c>
      <c r="D47" s="12" t="s">
        <v>14</v>
      </c>
      <c r="E47" s="12" t="s">
        <v>60</v>
      </c>
      <c r="F47" s="12" t="s">
        <v>61</v>
      </c>
    </row>
    <row r="48" spans="1:256" ht="18" customHeight="1" x14ac:dyDescent="0.2">
      <c r="A48" s="13" t="s">
        <v>62</v>
      </c>
      <c r="B48" s="19" t="s">
        <v>24</v>
      </c>
      <c r="C48" s="17">
        <v>1</v>
      </c>
      <c r="D48" s="17" t="s">
        <v>25</v>
      </c>
      <c r="E48" s="18">
        <v>0</v>
      </c>
      <c r="F48" s="20">
        <f>E48*C48</f>
        <v>0</v>
      </c>
    </row>
    <row r="49" spans="1:6" ht="15" x14ac:dyDescent="0.2">
      <c r="A49" s="13" t="s">
        <v>62</v>
      </c>
      <c r="B49" s="19" t="s">
        <v>63</v>
      </c>
      <c r="C49" s="17">
        <v>1</v>
      </c>
      <c r="D49" s="17" t="s">
        <v>25</v>
      </c>
      <c r="E49" s="18">
        <v>0</v>
      </c>
      <c r="F49" s="20">
        <f>E49*C49</f>
        <v>0</v>
      </c>
    </row>
    <row r="50" spans="1:6" ht="15" x14ac:dyDescent="0.2">
      <c r="A50" s="21"/>
      <c r="B50" s="21"/>
      <c r="C50" s="21"/>
      <c r="D50" s="21"/>
      <c r="E50" s="22" t="s">
        <v>64</v>
      </c>
      <c r="F50" s="23">
        <f>SUM(F48:F49)</f>
        <v>0</v>
      </c>
    </row>
    <row r="53" spans="1:6" ht="18" customHeight="1" x14ac:dyDescent="0.2">
      <c r="A53" s="31" t="s">
        <v>68</v>
      </c>
    </row>
    <row r="54" spans="1:6" ht="18" customHeight="1" x14ac:dyDescent="0.2">
      <c r="A54" s="1" t="s">
        <v>47</v>
      </c>
      <c r="B54" s="1" t="s">
        <v>48</v>
      </c>
      <c r="C54" s="1" t="s">
        <v>49</v>
      </c>
      <c r="D54" s="1" t="s">
        <v>50</v>
      </c>
      <c r="E54" s="1" t="s">
        <v>66</v>
      </c>
    </row>
    <row r="55" spans="1:6" ht="18" customHeight="1" x14ac:dyDescent="0.2">
      <c r="A55" s="4"/>
      <c r="B55" s="4"/>
      <c r="C55" s="16">
        <f>_xlfn.XLOOKUP(A55,'LCATs &amp; Rates'!$A$5:$A$44,'LCATs &amp; Rates'!$H$5:$H$44)</f>
        <v>0</v>
      </c>
      <c r="D55" s="5"/>
      <c r="E55" s="14">
        <f>$C55*$D55</f>
        <v>0</v>
      </c>
    </row>
    <row r="56" spans="1:6" ht="18" customHeight="1" x14ac:dyDescent="0.2">
      <c r="A56" s="4"/>
      <c r="B56" s="4"/>
      <c r="C56" s="16">
        <f>_xlfn.XLOOKUP(A56,'LCATs &amp; Rates'!$A$5:$A$44,'LCATs &amp; Rates'!$H$5:$H$44)</f>
        <v>0</v>
      </c>
      <c r="D56" s="5"/>
      <c r="E56" s="14">
        <f t="shared" ref="E56:E66" si="2">$C56*$D56</f>
        <v>0</v>
      </c>
    </row>
    <row r="57" spans="1:6" ht="18" customHeight="1" x14ac:dyDescent="0.2">
      <c r="A57" s="4"/>
      <c r="B57" s="4"/>
      <c r="C57" s="16">
        <f>_xlfn.XLOOKUP(A57,'LCATs &amp; Rates'!$A$5:$A$44,'LCATs &amp; Rates'!$H$5:$H$44)</f>
        <v>0</v>
      </c>
      <c r="D57" s="5"/>
      <c r="E57" s="14">
        <f t="shared" si="2"/>
        <v>0</v>
      </c>
    </row>
    <row r="58" spans="1:6" ht="18" customHeight="1" x14ac:dyDescent="0.2">
      <c r="A58" s="4"/>
      <c r="B58" s="4"/>
      <c r="C58" s="16">
        <f>_xlfn.XLOOKUP(A58,'LCATs &amp; Rates'!$A$5:$A$44,'LCATs &amp; Rates'!$H$5:$H$44)</f>
        <v>0</v>
      </c>
      <c r="D58" s="5"/>
      <c r="E58" s="14">
        <f t="shared" si="2"/>
        <v>0</v>
      </c>
    </row>
    <row r="59" spans="1:6" ht="18" customHeight="1" x14ac:dyDescent="0.2">
      <c r="A59" s="4"/>
      <c r="B59" s="4"/>
      <c r="C59" s="16">
        <f>_xlfn.XLOOKUP(A59,'LCATs &amp; Rates'!$A$5:$A$44,'LCATs &amp; Rates'!$H$5:$H$44)</f>
        <v>0</v>
      </c>
      <c r="D59" s="5"/>
      <c r="E59" s="14">
        <f t="shared" si="2"/>
        <v>0</v>
      </c>
    </row>
    <row r="60" spans="1:6" ht="18" customHeight="1" x14ac:dyDescent="0.2">
      <c r="A60" s="4"/>
      <c r="B60" s="4"/>
      <c r="C60" s="16">
        <f>_xlfn.XLOOKUP(A60,'LCATs &amp; Rates'!$A$5:$A$44,'LCATs &amp; Rates'!$H$5:$H$44)</f>
        <v>0</v>
      </c>
      <c r="D60" s="5"/>
      <c r="E60" s="14">
        <f t="shared" si="2"/>
        <v>0</v>
      </c>
    </row>
    <row r="61" spans="1:6" ht="18" customHeight="1" x14ac:dyDescent="0.2">
      <c r="A61" s="4"/>
      <c r="B61" s="4"/>
      <c r="C61" s="16">
        <f>_xlfn.XLOOKUP(A61,'LCATs &amp; Rates'!$A$5:$A$44,'LCATs &amp; Rates'!$H$5:$H$44)</f>
        <v>0</v>
      </c>
      <c r="D61" s="5"/>
      <c r="E61" s="14">
        <f t="shared" si="2"/>
        <v>0</v>
      </c>
    </row>
    <row r="62" spans="1:6" ht="18" customHeight="1" x14ac:dyDescent="0.2">
      <c r="A62" s="4"/>
      <c r="B62" s="4"/>
      <c r="C62" s="16">
        <f>_xlfn.XLOOKUP(A62,'LCATs &amp; Rates'!$A$5:$A$44,'LCATs &amp; Rates'!$H$5:$H$44)</f>
        <v>0</v>
      </c>
      <c r="D62" s="5"/>
      <c r="E62" s="14">
        <f t="shared" si="2"/>
        <v>0</v>
      </c>
    </row>
    <row r="63" spans="1:6" ht="18" customHeight="1" x14ac:dyDescent="0.2">
      <c r="A63" s="8"/>
      <c r="B63" s="8"/>
      <c r="C63" s="16">
        <f>_xlfn.XLOOKUP(A63,'LCATs &amp; Rates'!$A$5:$A$44,'LCATs &amp; Rates'!$H$5:$H$44)</f>
        <v>0</v>
      </c>
      <c r="D63" s="5"/>
      <c r="E63" s="14">
        <f t="shared" si="2"/>
        <v>0</v>
      </c>
    </row>
    <row r="64" spans="1:6" ht="18" customHeight="1" x14ac:dyDescent="0.2">
      <c r="A64" s="8"/>
      <c r="B64" s="8"/>
      <c r="C64" s="16">
        <f>_xlfn.XLOOKUP(A64,'LCATs &amp; Rates'!$A$5:$A$44,'LCATs &amp; Rates'!$H$5:$H$44)</f>
        <v>0</v>
      </c>
      <c r="D64" s="5"/>
      <c r="E64" s="14">
        <f t="shared" si="2"/>
        <v>0</v>
      </c>
    </row>
    <row r="65" spans="1:256" ht="18" customHeight="1" x14ac:dyDescent="0.2">
      <c r="A65" s="8"/>
      <c r="B65" s="8"/>
      <c r="C65" s="16">
        <f>_xlfn.XLOOKUP(A65,'LCATs &amp; Rates'!$A$5:$A$44,'LCATs &amp; Rates'!$H$5:$H$44)</f>
        <v>0</v>
      </c>
      <c r="D65" s="5"/>
      <c r="E65" s="14">
        <f t="shared" si="2"/>
        <v>0</v>
      </c>
    </row>
    <row r="66" spans="1:256" ht="18" customHeight="1" x14ac:dyDescent="0.2">
      <c r="A66" s="8"/>
      <c r="B66" s="8"/>
      <c r="C66" s="16">
        <f>_xlfn.XLOOKUP(A66,'LCATs &amp; Rates'!$A$5:$A$44,'LCATs &amp; Rates'!$H$5:$H$44)</f>
        <v>0</v>
      </c>
      <c r="D66" s="5"/>
      <c r="E66" s="14">
        <f t="shared" si="2"/>
        <v>0</v>
      </c>
    </row>
    <row r="67" spans="1:256" ht="18" customHeight="1" x14ac:dyDescent="0.2">
      <c r="A67" s="9" t="s">
        <v>52</v>
      </c>
      <c r="B67" s="9"/>
      <c r="C67" s="10"/>
      <c r="D67" s="10"/>
      <c r="E67" s="15">
        <f>SUM(E55:E66)</f>
        <v>0</v>
      </c>
    </row>
    <row r="68" spans="1:256" s="6" customFormat="1" ht="18" customHeight="1" x14ac:dyDescent="0.2">
      <c r="A68" s="9" t="s">
        <v>53</v>
      </c>
      <c r="E68" s="42">
        <v>2</v>
      </c>
      <c r="IS68" s="7"/>
      <c r="IT68" s="7"/>
      <c r="IU68" s="7"/>
      <c r="IV68" s="7"/>
    </row>
    <row r="69" spans="1:256" s="6" customFormat="1" ht="16.5" customHeight="1" x14ac:dyDescent="0.2">
      <c r="A69" s="9" t="s">
        <v>54</v>
      </c>
      <c r="E69" s="42">
        <v>26</v>
      </c>
      <c r="IS69" s="7"/>
      <c r="IT69" s="7"/>
      <c r="IU69" s="7"/>
      <c r="IV69" s="7"/>
    </row>
    <row r="70" spans="1:256" s="6" customFormat="1" ht="16.5" customHeight="1" x14ac:dyDescent="0.2">
      <c r="A70" s="9" t="s">
        <v>69</v>
      </c>
      <c r="E70" s="41">
        <f>E67*E68*E69</f>
        <v>0</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row>
    <row r="73" spans="1:256" ht="18" customHeight="1" x14ac:dyDescent="0.2">
      <c r="A73" s="12" t="s">
        <v>57</v>
      </c>
      <c r="B73" s="12" t="s">
        <v>58</v>
      </c>
      <c r="C73" s="12" t="s">
        <v>59</v>
      </c>
      <c r="D73" s="12" t="s">
        <v>14</v>
      </c>
      <c r="E73" s="12" t="s">
        <v>60</v>
      </c>
      <c r="F73" s="12" t="s">
        <v>61</v>
      </c>
    </row>
    <row r="74" spans="1:256" ht="18" customHeight="1" x14ac:dyDescent="0.2">
      <c r="A74" s="13" t="s">
        <v>62</v>
      </c>
      <c r="B74" s="19" t="s">
        <v>24</v>
      </c>
      <c r="C74" s="17">
        <v>1</v>
      </c>
      <c r="D74" s="17" t="s">
        <v>25</v>
      </c>
      <c r="E74" s="18">
        <v>0</v>
      </c>
      <c r="F74" s="20">
        <f>E74*C74</f>
        <v>0</v>
      </c>
    </row>
    <row r="75" spans="1:256" ht="15" x14ac:dyDescent="0.2">
      <c r="A75" s="13" t="s">
        <v>62</v>
      </c>
      <c r="B75" s="19" t="s">
        <v>63</v>
      </c>
      <c r="C75" s="17">
        <v>1</v>
      </c>
      <c r="D75" s="17" t="s">
        <v>25</v>
      </c>
      <c r="E75" s="18">
        <v>0</v>
      </c>
      <c r="F75" s="20">
        <f>E75*C75</f>
        <v>0</v>
      </c>
    </row>
    <row r="76" spans="1:256" ht="15" x14ac:dyDescent="0.2">
      <c r="A76" s="21"/>
      <c r="B76" s="21"/>
      <c r="C76" s="21"/>
      <c r="D76" s="21"/>
      <c r="E76" s="22" t="s">
        <v>64</v>
      </c>
      <c r="F76" s="23">
        <f>SUM(F74:F75)</f>
        <v>0</v>
      </c>
    </row>
  </sheetData>
  <autoFilter ref="A2:E15" xr:uid="{B9DFE324-DC59-4577-B881-6DD96FBF83DE}"/>
  <pageMargins left="0.5" right="0.5" top="0.75" bottom="0.75" header="0.27777800000000002" footer="0.27777800000000002"/>
  <pageSetup orientation="portrait"/>
  <headerFooter>
    <oddFooter>&amp;C&amp;"Helvetica,Regular"&amp;12&amp;K000000&amp;P_x000D_&amp;1#&amp;"Calibri"&amp;14&amp;K000000 SBU - CONTRACTING AND ACQUISITIONS</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0E6B575-BE8C-4AA3-8B6E-1F47930C92AC}">
          <x14:formula1>
            <xm:f>'LCATs &amp; Rates'!$A$5:$A$35</xm:f>
          </x14:formula1>
          <xm:sqref>A3:A14 A29:A40 A55:A66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FFD73-4B0A-4902-9F00-5F69B6867F0B}">
  <sheetPr>
    <tabColor theme="5"/>
    <pageSetUpPr fitToPage="1"/>
  </sheetPr>
  <dimension ref="A1:IV76"/>
  <sheetViews>
    <sheetView showGridLines="0" topLeftCell="A72" zoomScale="105" zoomScaleNormal="145" zoomScalePageLayoutView="125" workbookViewId="0">
      <selection activeCell="E68" sqref="E68:E69"/>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63.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c r="B3" s="4"/>
      <c r="C3" s="16">
        <f>_xlfn.XLOOKUP(A3,'LCATs &amp; Rates'!$A$5:$A$44,'LCATs &amp; Rates'!$F$5:$F$44)</f>
        <v>0</v>
      </c>
      <c r="D3" s="5"/>
      <c r="E3" s="14">
        <f>$C3*$D3</f>
        <v>0</v>
      </c>
    </row>
    <row r="4" spans="1:256" ht="18" customHeight="1" x14ac:dyDescent="0.2">
      <c r="A4" s="4"/>
      <c r="B4" s="4"/>
      <c r="C4" s="16">
        <f>_xlfn.XLOOKUP(A4,'LCATs &amp; Rates'!$A$5:$A$44,'LCATs &amp; Rates'!$F$5:$F$44)</f>
        <v>0</v>
      </c>
      <c r="D4" s="5"/>
      <c r="E4" s="14">
        <f t="shared" ref="E4:E14" si="0">$C4*$D4</f>
        <v>0</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x14ac:dyDescent="0.2">
      <c r="A14" s="8"/>
      <c r="B14" s="8"/>
      <c r="C14" s="16">
        <f>_xlfn.XLOOKUP(A14,'LCATs &amp; Rates'!$A$5:$A$44,'LCATs &amp; Rates'!$F$5:$F$44)</f>
        <v>0</v>
      </c>
      <c r="D14" s="5"/>
      <c r="E14" s="14">
        <f t="shared" si="0"/>
        <v>0</v>
      </c>
    </row>
    <row r="15" spans="1:256" ht="18" customHeight="1" x14ac:dyDescent="0.2">
      <c r="A15" s="9" t="s">
        <v>52</v>
      </c>
      <c r="B15" s="9"/>
      <c r="C15" s="10"/>
      <c r="D15" s="10"/>
      <c r="E15" s="15">
        <f>SUM(E3:E14)</f>
        <v>0</v>
      </c>
    </row>
    <row r="16" spans="1:256" s="6" customFormat="1" ht="18" customHeight="1" x14ac:dyDescent="0.2">
      <c r="A16" s="9" t="s">
        <v>53</v>
      </c>
      <c r="E16" s="42">
        <v>2</v>
      </c>
      <c r="IS16" s="7"/>
      <c r="IT16" s="7"/>
      <c r="IU16" s="7"/>
      <c r="IV16" s="7"/>
    </row>
    <row r="17" spans="1:256" s="6" customFormat="1" ht="16.5" customHeight="1" x14ac:dyDescent="0.2">
      <c r="A17" s="9" t="s">
        <v>54</v>
      </c>
      <c r="E17" s="42">
        <v>26</v>
      </c>
      <c r="IS17" s="7"/>
      <c r="IT17" s="7"/>
      <c r="IU17" s="7"/>
      <c r="IV17" s="7"/>
    </row>
    <row r="18" spans="1:256" s="6" customFormat="1" ht="16.5" customHeight="1" x14ac:dyDescent="0.2">
      <c r="A18" s="9" t="s">
        <v>55</v>
      </c>
      <c r="E18" s="41">
        <f>E15*E16*E17</f>
        <v>0</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S20" s="11"/>
      <c r="IT20" s="11"/>
      <c r="IU20" s="11"/>
      <c r="IV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row>
    <row r="22" spans="1:256" s="11" customFormat="1" ht="18" customHeight="1" x14ac:dyDescent="0.2">
      <c r="A22" s="13" t="s">
        <v>62</v>
      </c>
      <c r="B22" s="19" t="s">
        <v>24</v>
      </c>
      <c r="C22" s="17">
        <v>1</v>
      </c>
      <c r="D22" s="17" t="s">
        <v>25</v>
      </c>
      <c r="E22" s="18">
        <v>0</v>
      </c>
      <c r="F22" s="20">
        <f>E22*C22</f>
        <v>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row>
    <row r="23" spans="1:256" s="11" customFormat="1" ht="18" customHeight="1" x14ac:dyDescent="0.2">
      <c r="A23" s="13" t="s">
        <v>62</v>
      </c>
      <c r="B23" s="19" t="s">
        <v>63</v>
      </c>
      <c r="C23" s="17">
        <v>1</v>
      </c>
      <c r="D23" s="17" t="s">
        <v>25</v>
      </c>
      <c r="E23" s="18">
        <v>0</v>
      </c>
      <c r="F23" s="20">
        <f>E23*C23</f>
        <v>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row>
    <row r="24" spans="1:256" s="11" customFormat="1" ht="15" x14ac:dyDescent="0.2">
      <c r="A24" s="21"/>
      <c r="B24" s="21"/>
      <c r="C24" s="21"/>
      <c r="D24" s="21"/>
      <c r="E24" s="22" t="s">
        <v>64</v>
      </c>
      <c r="F24" s="23">
        <f>SUM(F22:F23)</f>
        <v>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row>
    <row r="27" spans="1:256" ht="18" customHeight="1" x14ac:dyDescent="0.2">
      <c r="A27" s="31" t="s">
        <v>65</v>
      </c>
    </row>
    <row r="28" spans="1:256" ht="18" customHeight="1" x14ac:dyDescent="0.2">
      <c r="A28" s="1" t="s">
        <v>47</v>
      </c>
      <c r="B28" s="1" t="s">
        <v>48</v>
      </c>
      <c r="C28" s="1" t="s">
        <v>49</v>
      </c>
      <c r="D28" s="1" t="s">
        <v>50</v>
      </c>
      <c r="E28" s="1" t="s">
        <v>66</v>
      </c>
    </row>
    <row r="29" spans="1:256" ht="18" customHeight="1" x14ac:dyDescent="0.2">
      <c r="A29" s="4"/>
      <c r="B29" s="4"/>
      <c r="C29" s="16">
        <f>_xlfn.XLOOKUP(A29,'LCATs &amp; Rates'!$A$5:$A$44,'LCATs &amp; Rates'!$G$5:$G$44)</f>
        <v>0</v>
      </c>
      <c r="D29" s="5"/>
      <c r="E29" s="14">
        <f>$C29*$D29</f>
        <v>0</v>
      </c>
    </row>
    <row r="30" spans="1:256" ht="18" customHeight="1" x14ac:dyDescent="0.2">
      <c r="A30" s="4"/>
      <c r="B30" s="4"/>
      <c r="C30" s="16">
        <f>_xlfn.XLOOKUP(A30,'LCATs &amp; Rates'!$A$5:$A$44,'LCATs &amp; Rates'!$G$5:$G$44)</f>
        <v>0</v>
      </c>
      <c r="D30" s="5"/>
      <c r="E30" s="14">
        <f t="shared" ref="E30:E40" si="1">$C30*$D30</f>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x14ac:dyDescent="0.2">
      <c r="A40" s="8"/>
      <c r="B40" s="8"/>
      <c r="C40" s="16">
        <f>_xlfn.XLOOKUP(A40,'LCATs &amp; Rates'!$A$5:$A$44,'LCATs &amp; Rates'!$G$5:$G$44)</f>
        <v>0</v>
      </c>
      <c r="D40" s="5"/>
      <c r="E40" s="14">
        <f t="shared" si="1"/>
        <v>0</v>
      </c>
    </row>
    <row r="41" spans="1:256" ht="18" customHeight="1" x14ac:dyDescent="0.2">
      <c r="A41" s="9" t="s">
        <v>52</v>
      </c>
      <c r="B41" s="9"/>
      <c r="C41" s="10"/>
      <c r="D41" s="10"/>
      <c r="E41" s="15">
        <f>SUM(E29:E40)</f>
        <v>0</v>
      </c>
    </row>
    <row r="42" spans="1:256" s="6" customFormat="1" ht="18" customHeight="1" x14ac:dyDescent="0.2">
      <c r="A42" s="9" t="s">
        <v>53</v>
      </c>
      <c r="E42" s="42">
        <v>2</v>
      </c>
      <c r="IS42" s="7"/>
      <c r="IT42" s="7"/>
      <c r="IU42" s="7"/>
      <c r="IV42" s="7"/>
    </row>
    <row r="43" spans="1:256" s="6" customFormat="1" ht="16.5" customHeight="1" x14ac:dyDescent="0.2">
      <c r="A43" s="9" t="s">
        <v>54</v>
      </c>
      <c r="E43" s="42">
        <v>26</v>
      </c>
      <c r="IS43" s="7"/>
      <c r="IT43" s="7"/>
      <c r="IU43" s="7"/>
      <c r="IV43" s="7"/>
    </row>
    <row r="44" spans="1:256" s="6" customFormat="1" ht="16.5" customHeight="1" x14ac:dyDescent="0.2">
      <c r="A44" s="9" t="s">
        <v>67</v>
      </c>
      <c r="E44" s="41">
        <f>E41*E42*E43</f>
        <v>0</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row>
    <row r="47" spans="1:256" ht="18" customHeight="1" x14ac:dyDescent="0.2">
      <c r="A47" s="12" t="s">
        <v>57</v>
      </c>
      <c r="B47" s="12" t="s">
        <v>58</v>
      </c>
      <c r="C47" s="12" t="s">
        <v>59</v>
      </c>
      <c r="D47" s="12" t="s">
        <v>14</v>
      </c>
      <c r="E47" s="12" t="s">
        <v>60</v>
      </c>
      <c r="F47" s="12" t="s">
        <v>61</v>
      </c>
    </row>
    <row r="48" spans="1:256" ht="18" customHeight="1" x14ac:dyDescent="0.2">
      <c r="A48" s="13" t="s">
        <v>62</v>
      </c>
      <c r="B48" s="19" t="s">
        <v>24</v>
      </c>
      <c r="C48" s="17">
        <v>1</v>
      </c>
      <c r="D48" s="17" t="s">
        <v>25</v>
      </c>
      <c r="E48" s="18">
        <v>0</v>
      </c>
      <c r="F48" s="20">
        <f>E48*C48</f>
        <v>0</v>
      </c>
    </row>
    <row r="49" spans="1:6" ht="15" x14ac:dyDescent="0.2">
      <c r="A49" s="13" t="s">
        <v>62</v>
      </c>
      <c r="B49" s="19" t="s">
        <v>63</v>
      </c>
      <c r="C49" s="17">
        <v>1</v>
      </c>
      <c r="D49" s="17" t="s">
        <v>25</v>
      </c>
      <c r="E49" s="18">
        <v>0</v>
      </c>
      <c r="F49" s="20">
        <f>E49*C49</f>
        <v>0</v>
      </c>
    </row>
    <row r="50" spans="1:6" ht="15" x14ac:dyDescent="0.2">
      <c r="A50" s="21"/>
      <c r="B50" s="21"/>
      <c r="C50" s="21"/>
      <c r="D50" s="21"/>
      <c r="E50" s="22" t="s">
        <v>64</v>
      </c>
      <c r="F50" s="23">
        <f>SUM(F48:F49)</f>
        <v>0</v>
      </c>
    </row>
    <row r="53" spans="1:6" ht="18" customHeight="1" x14ac:dyDescent="0.2">
      <c r="A53" s="31" t="s">
        <v>68</v>
      </c>
    </row>
    <row r="54" spans="1:6" ht="18" customHeight="1" x14ac:dyDescent="0.2">
      <c r="A54" s="1" t="s">
        <v>47</v>
      </c>
      <c r="B54" s="1" t="s">
        <v>48</v>
      </c>
      <c r="C54" s="1" t="s">
        <v>49</v>
      </c>
      <c r="D54" s="1" t="s">
        <v>50</v>
      </c>
      <c r="E54" s="1" t="s">
        <v>66</v>
      </c>
    </row>
    <row r="55" spans="1:6" ht="18" customHeight="1" x14ac:dyDescent="0.2">
      <c r="A55" s="4"/>
      <c r="B55" s="4"/>
      <c r="C55" s="16">
        <f>_xlfn.XLOOKUP(A55,'LCATs &amp; Rates'!$A$5:$A$44,'LCATs &amp; Rates'!$H$5:$H$44)</f>
        <v>0</v>
      </c>
      <c r="D55" s="5"/>
      <c r="E55" s="14">
        <f>$C55*$D55</f>
        <v>0</v>
      </c>
    </row>
    <row r="56" spans="1:6" ht="18" customHeight="1" x14ac:dyDescent="0.2">
      <c r="A56" s="4"/>
      <c r="B56" s="4"/>
      <c r="C56" s="16">
        <f>_xlfn.XLOOKUP(A56,'LCATs &amp; Rates'!$A$5:$A$44,'LCATs &amp; Rates'!$H$5:$H$44)</f>
        <v>0</v>
      </c>
      <c r="D56" s="5"/>
      <c r="E56" s="14">
        <f t="shared" ref="E56:E66" si="2">$C56*$D56</f>
        <v>0</v>
      </c>
    </row>
    <row r="57" spans="1:6" ht="18" customHeight="1" x14ac:dyDescent="0.2">
      <c r="A57" s="4"/>
      <c r="B57" s="4"/>
      <c r="C57" s="16">
        <f>_xlfn.XLOOKUP(A57,'LCATs &amp; Rates'!$A$5:$A$44,'LCATs &amp; Rates'!$H$5:$H$44)</f>
        <v>0</v>
      </c>
      <c r="D57" s="5"/>
      <c r="E57" s="14">
        <f t="shared" si="2"/>
        <v>0</v>
      </c>
    </row>
    <row r="58" spans="1:6" ht="18" customHeight="1" x14ac:dyDescent="0.2">
      <c r="A58" s="4"/>
      <c r="B58" s="4"/>
      <c r="C58" s="16">
        <f>_xlfn.XLOOKUP(A58,'LCATs &amp; Rates'!$A$5:$A$44,'LCATs &amp; Rates'!$H$5:$H$44)</f>
        <v>0</v>
      </c>
      <c r="D58" s="5"/>
      <c r="E58" s="14">
        <f t="shared" si="2"/>
        <v>0</v>
      </c>
    </row>
    <row r="59" spans="1:6" ht="18" customHeight="1" x14ac:dyDescent="0.2">
      <c r="A59" s="4"/>
      <c r="B59" s="4"/>
      <c r="C59" s="16">
        <f>_xlfn.XLOOKUP(A59,'LCATs &amp; Rates'!$A$5:$A$44,'LCATs &amp; Rates'!$H$5:$H$44)</f>
        <v>0</v>
      </c>
      <c r="D59" s="5"/>
      <c r="E59" s="14">
        <f t="shared" si="2"/>
        <v>0</v>
      </c>
    </row>
    <row r="60" spans="1:6" ht="18" customHeight="1" x14ac:dyDescent="0.2">
      <c r="A60" s="4"/>
      <c r="B60" s="4"/>
      <c r="C60" s="16">
        <f>_xlfn.XLOOKUP(A60,'LCATs &amp; Rates'!$A$5:$A$44,'LCATs &amp; Rates'!$H$5:$H$44)</f>
        <v>0</v>
      </c>
      <c r="D60" s="5"/>
      <c r="E60" s="14">
        <f t="shared" si="2"/>
        <v>0</v>
      </c>
    </row>
    <row r="61" spans="1:6" ht="18" customHeight="1" x14ac:dyDescent="0.2">
      <c r="A61" s="4"/>
      <c r="B61" s="4"/>
      <c r="C61" s="16">
        <f>_xlfn.XLOOKUP(A61,'LCATs &amp; Rates'!$A$5:$A$44,'LCATs &amp; Rates'!$H$5:$H$44)</f>
        <v>0</v>
      </c>
      <c r="D61" s="5"/>
      <c r="E61" s="14">
        <f t="shared" si="2"/>
        <v>0</v>
      </c>
    </row>
    <row r="62" spans="1:6" ht="18" customHeight="1" x14ac:dyDescent="0.2">
      <c r="A62" s="4"/>
      <c r="B62" s="4"/>
      <c r="C62" s="16">
        <f>_xlfn.XLOOKUP(A62,'LCATs &amp; Rates'!$A$5:$A$44,'LCATs &amp; Rates'!$H$5:$H$44)</f>
        <v>0</v>
      </c>
      <c r="D62" s="5"/>
      <c r="E62" s="14">
        <f t="shared" si="2"/>
        <v>0</v>
      </c>
    </row>
    <row r="63" spans="1:6" ht="18" customHeight="1" x14ac:dyDescent="0.2">
      <c r="A63" s="8"/>
      <c r="B63" s="8"/>
      <c r="C63" s="16">
        <f>_xlfn.XLOOKUP(A63,'LCATs &amp; Rates'!$A$5:$A$44,'LCATs &amp; Rates'!$H$5:$H$44)</f>
        <v>0</v>
      </c>
      <c r="D63" s="5"/>
      <c r="E63" s="14">
        <f t="shared" si="2"/>
        <v>0</v>
      </c>
    </row>
    <row r="64" spans="1:6" ht="18" customHeight="1" x14ac:dyDescent="0.2">
      <c r="A64" s="8"/>
      <c r="B64" s="8"/>
      <c r="C64" s="16">
        <f>_xlfn.XLOOKUP(A64,'LCATs &amp; Rates'!$A$5:$A$44,'LCATs &amp; Rates'!$H$5:$H$44)</f>
        <v>0</v>
      </c>
      <c r="D64" s="5"/>
      <c r="E64" s="14">
        <f t="shared" si="2"/>
        <v>0</v>
      </c>
    </row>
    <row r="65" spans="1:256" ht="18" customHeight="1" x14ac:dyDescent="0.2">
      <c r="A65" s="8"/>
      <c r="B65" s="8"/>
      <c r="C65" s="16">
        <f>_xlfn.XLOOKUP(A65,'LCATs &amp; Rates'!$A$5:$A$44,'LCATs &amp; Rates'!$H$5:$H$44)</f>
        <v>0</v>
      </c>
      <c r="D65" s="5"/>
      <c r="E65" s="14">
        <f t="shared" si="2"/>
        <v>0</v>
      </c>
    </row>
    <row r="66" spans="1:256" ht="18" customHeight="1" x14ac:dyDescent="0.2">
      <c r="A66" s="8"/>
      <c r="B66" s="8"/>
      <c r="C66" s="16">
        <f>_xlfn.XLOOKUP(A66,'LCATs &amp; Rates'!$A$5:$A$44,'LCATs &amp; Rates'!$H$5:$H$44)</f>
        <v>0</v>
      </c>
      <c r="D66" s="5"/>
      <c r="E66" s="14">
        <f t="shared" si="2"/>
        <v>0</v>
      </c>
    </row>
    <row r="67" spans="1:256" ht="18" customHeight="1" x14ac:dyDescent="0.2">
      <c r="A67" s="9" t="s">
        <v>52</v>
      </c>
      <c r="B67" s="9"/>
      <c r="C67" s="10"/>
      <c r="D67" s="10"/>
      <c r="E67" s="15">
        <f>SUM(E55:E66)</f>
        <v>0</v>
      </c>
    </row>
    <row r="68" spans="1:256" s="6" customFormat="1" ht="18" customHeight="1" x14ac:dyDescent="0.2">
      <c r="A68" s="9" t="s">
        <v>53</v>
      </c>
      <c r="E68" s="42">
        <v>2</v>
      </c>
      <c r="IS68" s="7"/>
      <c r="IT68" s="7"/>
      <c r="IU68" s="7"/>
      <c r="IV68" s="7"/>
    </row>
    <row r="69" spans="1:256" s="6" customFormat="1" ht="16.5" customHeight="1" x14ac:dyDescent="0.2">
      <c r="A69" s="9" t="s">
        <v>54</v>
      </c>
      <c r="E69" s="42">
        <v>26</v>
      </c>
      <c r="IS69" s="7"/>
      <c r="IT69" s="7"/>
      <c r="IU69" s="7"/>
      <c r="IV69" s="7"/>
    </row>
    <row r="70" spans="1:256" s="6" customFormat="1" ht="16.5" customHeight="1" x14ac:dyDescent="0.2">
      <c r="A70" s="9" t="s">
        <v>69</v>
      </c>
      <c r="E70" s="41">
        <f>E67*E68*E69</f>
        <v>0</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row>
    <row r="73" spans="1:256" ht="18" customHeight="1" x14ac:dyDescent="0.2">
      <c r="A73" s="12" t="s">
        <v>57</v>
      </c>
      <c r="B73" s="12" t="s">
        <v>58</v>
      </c>
      <c r="C73" s="12" t="s">
        <v>59</v>
      </c>
      <c r="D73" s="12" t="s">
        <v>14</v>
      </c>
      <c r="E73" s="12" t="s">
        <v>60</v>
      </c>
      <c r="F73" s="12" t="s">
        <v>61</v>
      </c>
    </row>
    <row r="74" spans="1:256" ht="18" customHeight="1" x14ac:dyDescent="0.2">
      <c r="A74" s="13" t="s">
        <v>62</v>
      </c>
      <c r="B74" s="19" t="s">
        <v>24</v>
      </c>
      <c r="C74" s="17">
        <v>1</v>
      </c>
      <c r="D74" s="17" t="s">
        <v>25</v>
      </c>
      <c r="E74" s="18">
        <v>0</v>
      </c>
      <c r="F74" s="20">
        <f>E74*C74</f>
        <v>0</v>
      </c>
    </row>
    <row r="75" spans="1:256" ht="15" x14ac:dyDescent="0.2">
      <c r="A75" s="13" t="s">
        <v>62</v>
      </c>
      <c r="B75" s="19" t="s">
        <v>63</v>
      </c>
      <c r="C75" s="17">
        <v>1</v>
      </c>
      <c r="D75" s="17" t="s">
        <v>25</v>
      </c>
      <c r="E75" s="18">
        <v>0</v>
      </c>
      <c r="F75" s="20">
        <f>E75*C75</f>
        <v>0</v>
      </c>
    </row>
    <row r="76" spans="1:256" ht="15" x14ac:dyDescent="0.2">
      <c r="A76" s="21"/>
      <c r="B76" s="21"/>
      <c r="C76" s="21"/>
      <c r="D76" s="21"/>
      <c r="E76" s="22" t="s">
        <v>64</v>
      </c>
      <c r="F76" s="23">
        <f>SUM(F74:F75)</f>
        <v>0</v>
      </c>
    </row>
  </sheetData>
  <autoFilter ref="A2:E15" xr:uid="{B9DFE324-DC59-4577-B881-6DD96FBF83DE}"/>
  <pageMargins left="0.5" right="0.5" top="0.75" bottom="0.75" header="0.27777800000000002" footer="0.27777800000000002"/>
  <pageSetup orientation="portrait"/>
  <headerFooter>
    <oddFooter>&amp;C&amp;"Helvetica,Regular"&amp;12&amp;K000000&amp;P_x000D_&amp;1#&amp;"Calibri"&amp;14&amp;K000000 SBU - CONTRACTING AND ACQUISITIONS</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EFD4594-F17B-439F-84F7-C07730E1923C}">
          <x14:formula1>
            <xm:f>'LCATs &amp; Rates'!$A$5:$A$35</xm:f>
          </x14:formula1>
          <xm:sqref>A3:A14 A29:A40 A55:A66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5EB0-B07D-4FA1-B22D-373F79536D78}">
  <sheetPr>
    <tabColor theme="5"/>
    <pageSetUpPr fitToPage="1"/>
  </sheetPr>
  <dimension ref="A1:IV76"/>
  <sheetViews>
    <sheetView showGridLines="0" zoomScale="105" zoomScaleNormal="145" zoomScalePageLayoutView="125" workbookViewId="0">
      <selection activeCell="E68" sqref="E68:E69"/>
    </sheetView>
  </sheetViews>
  <sheetFormatPr baseColWidth="10" defaultColWidth="16.33203125" defaultRowHeight="18" customHeight="1" x14ac:dyDescent="0.2"/>
  <cols>
    <col min="1" max="1" width="41.5" style="6" bestFit="1" customWidth="1"/>
    <col min="2" max="2" width="19.33203125" style="6" customWidth="1"/>
    <col min="3" max="5" width="16.33203125" style="6" customWidth="1"/>
    <col min="6" max="6" width="14" style="6" customWidth="1"/>
    <col min="7" max="252" width="16.33203125" style="6" customWidth="1"/>
    <col min="253" max="16384" width="16.33203125" style="7"/>
  </cols>
  <sheetData>
    <row r="1" spans="1:256" ht="18" customHeight="1" x14ac:dyDescent="0.2">
      <c r="A1" s="31" t="s">
        <v>46</v>
      </c>
    </row>
    <row r="2" spans="1:256" s="3" customFormat="1" ht="63.5" customHeight="1" x14ac:dyDescent="0.2">
      <c r="A2" s="1" t="s">
        <v>47</v>
      </c>
      <c r="B2" s="1" t="s">
        <v>48</v>
      </c>
      <c r="C2" s="1" t="s">
        <v>49</v>
      </c>
      <c r="D2" s="1" t="s">
        <v>50</v>
      </c>
      <c r="E2" s="1" t="s">
        <v>51</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row>
    <row r="3" spans="1:256" ht="18" customHeight="1" x14ac:dyDescent="0.2">
      <c r="A3" s="4"/>
      <c r="B3" s="4"/>
      <c r="C3" s="16">
        <f>_xlfn.XLOOKUP(A3,'LCATs &amp; Rates'!$A$5:$A$44,'LCATs &amp; Rates'!$F$5:$F$44)</f>
        <v>0</v>
      </c>
      <c r="D3" s="5"/>
      <c r="E3" s="14">
        <f>$C3*$D3</f>
        <v>0</v>
      </c>
    </row>
    <row r="4" spans="1:256" ht="18" customHeight="1" x14ac:dyDescent="0.2">
      <c r="A4" s="4"/>
      <c r="B4" s="4"/>
      <c r="C4" s="16">
        <f>_xlfn.XLOOKUP(A4,'LCATs &amp; Rates'!$A$5:$A$44,'LCATs &amp; Rates'!$F$5:$F$44)</f>
        <v>0</v>
      </c>
      <c r="D4" s="5"/>
      <c r="E4" s="14">
        <f t="shared" ref="E4:E14" si="0">$C4*$D4</f>
        <v>0</v>
      </c>
    </row>
    <row r="5" spans="1:256" ht="18" customHeight="1" x14ac:dyDescent="0.2">
      <c r="A5" s="4"/>
      <c r="B5" s="4"/>
      <c r="C5" s="16">
        <f>_xlfn.XLOOKUP(A5,'LCATs &amp; Rates'!$A$5:$A$44,'LCATs &amp; Rates'!$F$5:$F$44)</f>
        <v>0</v>
      </c>
      <c r="D5" s="5"/>
      <c r="E5" s="14">
        <f t="shared" si="0"/>
        <v>0</v>
      </c>
    </row>
    <row r="6" spans="1:256" ht="18" customHeight="1" x14ac:dyDescent="0.2">
      <c r="A6" s="4"/>
      <c r="B6" s="4"/>
      <c r="C6" s="16">
        <f>_xlfn.XLOOKUP(A6,'LCATs &amp; Rates'!$A$5:$A$44,'LCATs &amp; Rates'!$F$5:$F$44)</f>
        <v>0</v>
      </c>
      <c r="D6" s="5"/>
      <c r="E6" s="14">
        <f t="shared" si="0"/>
        <v>0</v>
      </c>
    </row>
    <row r="7" spans="1:256" ht="18" customHeight="1" x14ac:dyDescent="0.2">
      <c r="A7" s="4"/>
      <c r="B7" s="4"/>
      <c r="C7" s="16">
        <f>_xlfn.XLOOKUP(A7,'LCATs &amp; Rates'!$A$5:$A$44,'LCATs &amp; Rates'!$F$5:$F$44)</f>
        <v>0</v>
      </c>
      <c r="D7" s="5"/>
      <c r="E7" s="14">
        <f t="shared" si="0"/>
        <v>0</v>
      </c>
    </row>
    <row r="8" spans="1:256" ht="18" customHeight="1" x14ac:dyDescent="0.2">
      <c r="A8" s="4"/>
      <c r="B8" s="4"/>
      <c r="C8" s="16">
        <f>_xlfn.XLOOKUP(A8,'LCATs &amp; Rates'!$A$5:$A$44,'LCATs &amp; Rates'!$F$5:$F$44)</f>
        <v>0</v>
      </c>
      <c r="D8" s="5"/>
      <c r="E8" s="14">
        <f t="shared" si="0"/>
        <v>0</v>
      </c>
    </row>
    <row r="9" spans="1:256" ht="18" customHeight="1" x14ac:dyDescent="0.2">
      <c r="A9" s="4"/>
      <c r="B9" s="4"/>
      <c r="C9" s="16">
        <f>_xlfn.XLOOKUP(A9,'LCATs &amp; Rates'!$A$5:$A$44,'LCATs &amp; Rates'!$F$5:$F$44)</f>
        <v>0</v>
      </c>
      <c r="D9" s="5"/>
      <c r="E9" s="14">
        <f t="shared" si="0"/>
        <v>0</v>
      </c>
    </row>
    <row r="10" spans="1:256" ht="18" customHeight="1" x14ac:dyDescent="0.2">
      <c r="A10" s="4"/>
      <c r="B10" s="4"/>
      <c r="C10" s="16">
        <f>_xlfn.XLOOKUP(A10,'LCATs &amp; Rates'!$A$5:$A$44,'LCATs &amp; Rates'!$F$5:$F$44)</f>
        <v>0</v>
      </c>
      <c r="D10" s="5"/>
      <c r="E10" s="14">
        <f t="shared" si="0"/>
        <v>0</v>
      </c>
    </row>
    <row r="11" spans="1:256" ht="18" customHeight="1" x14ac:dyDescent="0.2">
      <c r="A11" s="8"/>
      <c r="B11" s="8"/>
      <c r="C11" s="16">
        <f>_xlfn.XLOOKUP(A11,'LCATs &amp; Rates'!$A$5:$A$44,'LCATs &amp; Rates'!$F$5:$F$44)</f>
        <v>0</v>
      </c>
      <c r="D11" s="5"/>
      <c r="E11" s="14">
        <f t="shared" si="0"/>
        <v>0</v>
      </c>
    </row>
    <row r="12" spans="1:256" ht="18" customHeight="1" x14ac:dyDescent="0.2">
      <c r="A12" s="8"/>
      <c r="B12" s="8"/>
      <c r="C12" s="16">
        <f>_xlfn.XLOOKUP(A12,'LCATs &amp; Rates'!$A$5:$A$44,'LCATs &amp; Rates'!$F$5:$F$44)</f>
        <v>0</v>
      </c>
      <c r="D12" s="5"/>
      <c r="E12" s="14">
        <f t="shared" si="0"/>
        <v>0</v>
      </c>
    </row>
    <row r="13" spans="1:256" ht="18" customHeight="1" x14ac:dyDescent="0.2">
      <c r="A13" s="8"/>
      <c r="B13" s="8"/>
      <c r="C13" s="16">
        <f>_xlfn.XLOOKUP(A13,'LCATs &amp; Rates'!$A$5:$A$44,'LCATs &amp; Rates'!$F$5:$F$44)</f>
        <v>0</v>
      </c>
      <c r="D13" s="5"/>
      <c r="E13" s="14">
        <f t="shared" si="0"/>
        <v>0</v>
      </c>
    </row>
    <row r="14" spans="1:256" ht="18" customHeight="1" x14ac:dyDescent="0.2">
      <c r="A14" s="8"/>
      <c r="B14" s="8"/>
      <c r="C14" s="16">
        <f>_xlfn.XLOOKUP(A14,'LCATs &amp; Rates'!$A$5:$A$44,'LCATs &amp; Rates'!$F$5:$F$44)</f>
        <v>0</v>
      </c>
      <c r="D14" s="5"/>
      <c r="E14" s="14">
        <f t="shared" si="0"/>
        <v>0</v>
      </c>
    </row>
    <row r="15" spans="1:256" ht="18" customHeight="1" x14ac:dyDescent="0.2">
      <c r="A15" s="9" t="s">
        <v>52</v>
      </c>
      <c r="B15" s="9"/>
      <c r="C15" s="10"/>
      <c r="D15" s="10"/>
      <c r="E15" s="15">
        <f>SUM(E3:E14)</f>
        <v>0</v>
      </c>
    </row>
    <row r="16" spans="1:256" s="6" customFormat="1" ht="18" customHeight="1" x14ac:dyDescent="0.2">
      <c r="A16" s="9" t="s">
        <v>53</v>
      </c>
      <c r="E16" s="42">
        <v>2</v>
      </c>
      <c r="IS16" s="7"/>
      <c r="IT16" s="7"/>
      <c r="IU16" s="7"/>
      <c r="IV16" s="7"/>
    </row>
    <row r="17" spans="1:256" s="6" customFormat="1" ht="16.5" customHeight="1" x14ac:dyDescent="0.2">
      <c r="A17" s="9" t="s">
        <v>54</v>
      </c>
      <c r="E17" s="42">
        <v>26</v>
      </c>
      <c r="IS17" s="7"/>
      <c r="IT17" s="7"/>
      <c r="IU17" s="7"/>
      <c r="IV17" s="7"/>
    </row>
    <row r="18" spans="1:256" s="6" customFormat="1" ht="16.5" customHeight="1" x14ac:dyDescent="0.2">
      <c r="A18" s="9" t="s">
        <v>55</v>
      </c>
      <c r="E18" s="41">
        <f>E15*E16*E17</f>
        <v>0</v>
      </c>
      <c r="IS18" s="7"/>
      <c r="IT18" s="7"/>
      <c r="IU18" s="7"/>
      <c r="IV18" s="7"/>
    </row>
    <row r="19" spans="1:256" s="6" customFormat="1" ht="16.5" customHeight="1" x14ac:dyDescent="0.2">
      <c r="A19" s="9"/>
      <c r="E19" s="39"/>
      <c r="IS19" s="7"/>
      <c r="IT19" s="7"/>
      <c r="IU19" s="7"/>
      <c r="IV19" s="7"/>
    </row>
    <row r="20" spans="1:256" s="10" customFormat="1" ht="18" customHeight="1" x14ac:dyDescent="0.2">
      <c r="A20" s="9" t="s">
        <v>56</v>
      </c>
      <c r="IS20" s="11"/>
      <c r="IT20" s="11"/>
      <c r="IU20" s="11"/>
      <c r="IV20" s="11"/>
    </row>
    <row r="21" spans="1:256" s="11" customFormat="1" ht="35" customHeight="1" x14ac:dyDescent="0.2">
      <c r="A21" s="12" t="s">
        <v>57</v>
      </c>
      <c r="B21" s="12" t="s">
        <v>58</v>
      </c>
      <c r="C21" s="12" t="s">
        <v>59</v>
      </c>
      <c r="D21" s="12" t="s">
        <v>14</v>
      </c>
      <c r="E21" s="12" t="s">
        <v>60</v>
      </c>
      <c r="F21" s="12" t="s">
        <v>61</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row>
    <row r="22" spans="1:256" s="11" customFormat="1" ht="18" customHeight="1" x14ac:dyDescent="0.2">
      <c r="A22" s="13" t="s">
        <v>62</v>
      </c>
      <c r="B22" s="19" t="s">
        <v>24</v>
      </c>
      <c r="C22" s="17">
        <v>1</v>
      </c>
      <c r="D22" s="17" t="s">
        <v>25</v>
      </c>
      <c r="E22" s="18">
        <v>0</v>
      </c>
      <c r="F22" s="20">
        <f>E22*C22</f>
        <v>0</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row>
    <row r="23" spans="1:256" s="11" customFormat="1" ht="18" customHeight="1" x14ac:dyDescent="0.2">
      <c r="A23" s="13" t="s">
        <v>62</v>
      </c>
      <c r="B23" s="19" t="s">
        <v>63</v>
      </c>
      <c r="C23" s="17">
        <v>1</v>
      </c>
      <c r="D23" s="17" t="s">
        <v>25</v>
      </c>
      <c r="E23" s="18">
        <v>0</v>
      </c>
      <c r="F23" s="20">
        <f>E23*C23</f>
        <v>0</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row>
    <row r="24" spans="1:256" s="11" customFormat="1" ht="15" x14ac:dyDescent="0.2">
      <c r="A24" s="21"/>
      <c r="B24" s="21"/>
      <c r="C24" s="21"/>
      <c r="D24" s="21"/>
      <c r="E24" s="22" t="s">
        <v>64</v>
      </c>
      <c r="F24" s="23">
        <f>SUM(F22:F23)</f>
        <v>0</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row>
    <row r="27" spans="1:256" ht="18" customHeight="1" x14ac:dyDescent="0.2">
      <c r="A27" s="31" t="s">
        <v>65</v>
      </c>
    </row>
    <row r="28" spans="1:256" ht="18" customHeight="1" x14ac:dyDescent="0.2">
      <c r="A28" s="1" t="s">
        <v>47</v>
      </c>
      <c r="B28" s="1" t="s">
        <v>48</v>
      </c>
      <c r="C28" s="1" t="s">
        <v>49</v>
      </c>
      <c r="D28" s="1" t="s">
        <v>50</v>
      </c>
      <c r="E28" s="1" t="s">
        <v>66</v>
      </c>
    </row>
    <row r="29" spans="1:256" ht="18" customHeight="1" x14ac:dyDescent="0.2">
      <c r="A29" s="4"/>
      <c r="B29" s="4"/>
      <c r="C29" s="16">
        <f>_xlfn.XLOOKUP(A29,'LCATs &amp; Rates'!$A$5:$A$44,'LCATs &amp; Rates'!$G$5:$G$44)</f>
        <v>0</v>
      </c>
      <c r="D29" s="5"/>
      <c r="E29" s="14">
        <f>$C29*$D29</f>
        <v>0</v>
      </c>
    </row>
    <row r="30" spans="1:256" ht="18" customHeight="1" x14ac:dyDescent="0.2">
      <c r="A30" s="4"/>
      <c r="B30" s="4"/>
      <c r="C30" s="16">
        <f>_xlfn.XLOOKUP(A30,'LCATs &amp; Rates'!$A$5:$A$44,'LCATs &amp; Rates'!$G$5:$G$44)</f>
        <v>0</v>
      </c>
      <c r="D30" s="5"/>
      <c r="E30" s="14">
        <f t="shared" ref="E30:E40" si="1">$C30*$D30</f>
        <v>0</v>
      </c>
    </row>
    <row r="31" spans="1:256" ht="18" customHeight="1" x14ac:dyDescent="0.2">
      <c r="A31" s="4"/>
      <c r="B31" s="4"/>
      <c r="C31" s="16">
        <f>_xlfn.XLOOKUP(A31,'LCATs &amp; Rates'!$A$5:$A$44,'LCATs &amp; Rates'!$G$5:$G$44)</f>
        <v>0</v>
      </c>
      <c r="D31" s="5"/>
      <c r="E31" s="14">
        <f t="shared" si="1"/>
        <v>0</v>
      </c>
    </row>
    <row r="32" spans="1:256" ht="18" customHeight="1" x14ac:dyDescent="0.2">
      <c r="A32" s="4"/>
      <c r="B32" s="4"/>
      <c r="C32" s="16">
        <f>_xlfn.XLOOKUP(A32,'LCATs &amp; Rates'!$A$5:$A$44,'LCATs &amp; Rates'!$G$5:$G$44)</f>
        <v>0</v>
      </c>
      <c r="D32" s="5"/>
      <c r="E32" s="14">
        <f t="shared" si="1"/>
        <v>0</v>
      </c>
    </row>
    <row r="33" spans="1:256" ht="18" customHeight="1" x14ac:dyDescent="0.2">
      <c r="A33" s="4"/>
      <c r="B33" s="4"/>
      <c r="C33" s="16">
        <f>_xlfn.XLOOKUP(A33,'LCATs &amp; Rates'!$A$5:$A$44,'LCATs &amp; Rates'!$G$5:$G$44)</f>
        <v>0</v>
      </c>
      <c r="D33" s="5"/>
      <c r="E33" s="14">
        <f t="shared" si="1"/>
        <v>0</v>
      </c>
    </row>
    <row r="34" spans="1:256" ht="18" customHeight="1" x14ac:dyDescent="0.2">
      <c r="A34" s="4"/>
      <c r="B34" s="4"/>
      <c r="C34" s="16">
        <f>_xlfn.XLOOKUP(A34,'LCATs &amp; Rates'!$A$5:$A$44,'LCATs &amp; Rates'!$G$5:$G$44)</f>
        <v>0</v>
      </c>
      <c r="D34" s="5"/>
      <c r="E34" s="14">
        <f t="shared" si="1"/>
        <v>0</v>
      </c>
    </row>
    <row r="35" spans="1:256" ht="18" customHeight="1" x14ac:dyDescent="0.2">
      <c r="A35" s="4"/>
      <c r="B35" s="4"/>
      <c r="C35" s="16">
        <f>_xlfn.XLOOKUP(A35,'LCATs &amp; Rates'!$A$5:$A$44,'LCATs &amp; Rates'!$G$5:$G$44)</f>
        <v>0</v>
      </c>
      <c r="D35" s="5"/>
      <c r="E35" s="14">
        <f t="shared" si="1"/>
        <v>0</v>
      </c>
    </row>
    <row r="36" spans="1:256" ht="18" customHeight="1" x14ac:dyDescent="0.2">
      <c r="A36" s="4"/>
      <c r="B36" s="4"/>
      <c r="C36" s="16">
        <f>_xlfn.XLOOKUP(A36,'LCATs &amp; Rates'!$A$5:$A$44,'LCATs &amp; Rates'!$G$5:$G$44)</f>
        <v>0</v>
      </c>
      <c r="D36" s="5"/>
      <c r="E36" s="14">
        <f t="shared" si="1"/>
        <v>0</v>
      </c>
    </row>
    <row r="37" spans="1:256" ht="18" customHeight="1" x14ac:dyDescent="0.2">
      <c r="A37" s="8"/>
      <c r="B37" s="8"/>
      <c r="C37" s="16">
        <f>_xlfn.XLOOKUP(A37,'LCATs &amp; Rates'!$A$5:$A$44,'LCATs &amp; Rates'!$G$5:$G$44)</f>
        <v>0</v>
      </c>
      <c r="D37" s="5"/>
      <c r="E37" s="14">
        <f t="shared" si="1"/>
        <v>0</v>
      </c>
    </row>
    <row r="38" spans="1:256" ht="18" customHeight="1" x14ac:dyDescent="0.2">
      <c r="A38" s="8"/>
      <c r="B38" s="8"/>
      <c r="C38" s="16">
        <f>_xlfn.XLOOKUP(A38,'LCATs &amp; Rates'!$A$5:$A$44,'LCATs &amp; Rates'!$G$5:$G$44)</f>
        <v>0</v>
      </c>
      <c r="D38" s="5"/>
      <c r="E38" s="14">
        <f t="shared" si="1"/>
        <v>0</v>
      </c>
    </row>
    <row r="39" spans="1:256" ht="18" customHeight="1" x14ac:dyDescent="0.2">
      <c r="A39" s="8"/>
      <c r="B39" s="8"/>
      <c r="C39" s="16">
        <f>_xlfn.XLOOKUP(A39,'LCATs &amp; Rates'!$A$5:$A$44,'LCATs &amp; Rates'!$G$5:$G$44)</f>
        <v>0</v>
      </c>
      <c r="D39" s="5"/>
      <c r="E39" s="14">
        <f t="shared" si="1"/>
        <v>0</v>
      </c>
    </row>
    <row r="40" spans="1:256" ht="18" customHeight="1" x14ac:dyDescent="0.2">
      <c r="A40" s="8"/>
      <c r="B40" s="8"/>
      <c r="C40" s="16">
        <f>_xlfn.XLOOKUP(A40,'LCATs &amp; Rates'!$A$5:$A$44,'LCATs &amp; Rates'!$G$5:$G$44)</f>
        <v>0</v>
      </c>
      <c r="D40" s="5"/>
      <c r="E40" s="14">
        <f t="shared" si="1"/>
        <v>0</v>
      </c>
    </row>
    <row r="41" spans="1:256" ht="18" customHeight="1" x14ac:dyDescent="0.2">
      <c r="A41" s="9" t="s">
        <v>52</v>
      </c>
      <c r="B41" s="9"/>
      <c r="C41" s="10"/>
      <c r="D41" s="10"/>
      <c r="E41" s="15">
        <f>SUM(E29:E40)</f>
        <v>0</v>
      </c>
    </row>
    <row r="42" spans="1:256" s="6" customFormat="1" ht="18" customHeight="1" x14ac:dyDescent="0.2">
      <c r="A42" s="9" t="s">
        <v>53</v>
      </c>
      <c r="E42" s="42">
        <v>2</v>
      </c>
      <c r="IS42" s="7"/>
      <c r="IT42" s="7"/>
      <c r="IU42" s="7"/>
      <c r="IV42" s="7"/>
    </row>
    <row r="43" spans="1:256" s="6" customFormat="1" ht="16.5" customHeight="1" x14ac:dyDescent="0.2">
      <c r="A43" s="9" t="s">
        <v>54</v>
      </c>
      <c r="E43" s="42">
        <v>26</v>
      </c>
      <c r="IS43" s="7"/>
      <c r="IT43" s="7"/>
      <c r="IU43" s="7"/>
      <c r="IV43" s="7"/>
    </row>
    <row r="44" spans="1:256" s="6" customFormat="1" ht="16.5" customHeight="1" x14ac:dyDescent="0.2">
      <c r="A44" s="9" t="s">
        <v>67</v>
      </c>
      <c r="E44" s="41">
        <f>E41*E42*E43</f>
        <v>0</v>
      </c>
      <c r="IS44" s="7"/>
      <c r="IT44" s="7"/>
      <c r="IU44" s="7"/>
      <c r="IV44" s="7"/>
    </row>
    <row r="45" spans="1:256" s="6" customFormat="1" ht="16.5" customHeight="1" x14ac:dyDescent="0.2">
      <c r="A45" s="9"/>
      <c r="E45" s="39"/>
      <c r="IS45" s="7"/>
      <c r="IT45" s="7"/>
      <c r="IU45" s="7"/>
      <c r="IV45" s="7"/>
    </row>
    <row r="46" spans="1:256" ht="18" customHeight="1" x14ac:dyDescent="0.2">
      <c r="A46" s="9" t="s">
        <v>56</v>
      </c>
      <c r="B46" s="10"/>
      <c r="C46" s="10"/>
      <c r="D46" s="10"/>
      <c r="E46" s="10"/>
    </row>
    <row r="47" spans="1:256" ht="18" customHeight="1" x14ac:dyDescent="0.2">
      <c r="A47" s="12" t="s">
        <v>57</v>
      </c>
      <c r="B47" s="12" t="s">
        <v>58</v>
      </c>
      <c r="C47" s="12" t="s">
        <v>59</v>
      </c>
      <c r="D47" s="12" t="s">
        <v>14</v>
      </c>
      <c r="E47" s="12" t="s">
        <v>60</v>
      </c>
      <c r="F47" s="12" t="s">
        <v>61</v>
      </c>
    </row>
    <row r="48" spans="1:256" ht="18" customHeight="1" x14ac:dyDescent="0.2">
      <c r="A48" s="13" t="s">
        <v>62</v>
      </c>
      <c r="B48" s="19" t="s">
        <v>24</v>
      </c>
      <c r="C48" s="17">
        <v>1</v>
      </c>
      <c r="D48" s="17" t="s">
        <v>25</v>
      </c>
      <c r="E48" s="18">
        <v>0</v>
      </c>
      <c r="F48" s="20">
        <f>E48*C48</f>
        <v>0</v>
      </c>
    </row>
    <row r="49" spans="1:6" ht="15" x14ac:dyDescent="0.2">
      <c r="A49" s="13" t="s">
        <v>62</v>
      </c>
      <c r="B49" s="19" t="s">
        <v>63</v>
      </c>
      <c r="C49" s="17">
        <v>1</v>
      </c>
      <c r="D49" s="17" t="s">
        <v>25</v>
      </c>
      <c r="E49" s="18">
        <v>0</v>
      </c>
      <c r="F49" s="20">
        <f>E49*C49</f>
        <v>0</v>
      </c>
    </row>
    <row r="50" spans="1:6" ht="15" x14ac:dyDescent="0.2">
      <c r="A50" s="21"/>
      <c r="B50" s="21"/>
      <c r="C50" s="21"/>
      <c r="D50" s="21"/>
      <c r="E50" s="22" t="s">
        <v>64</v>
      </c>
      <c r="F50" s="23">
        <f>SUM(F48:F49)</f>
        <v>0</v>
      </c>
    </row>
    <row r="53" spans="1:6" ht="18" customHeight="1" x14ac:dyDescent="0.2">
      <c r="A53" s="31" t="s">
        <v>68</v>
      </c>
    </row>
    <row r="54" spans="1:6" ht="18" customHeight="1" x14ac:dyDescent="0.2">
      <c r="A54" s="1" t="s">
        <v>47</v>
      </c>
      <c r="B54" s="1" t="s">
        <v>48</v>
      </c>
      <c r="C54" s="1" t="s">
        <v>49</v>
      </c>
      <c r="D54" s="1" t="s">
        <v>50</v>
      </c>
      <c r="E54" s="1" t="s">
        <v>66</v>
      </c>
    </row>
    <row r="55" spans="1:6" ht="18" customHeight="1" x14ac:dyDescent="0.2">
      <c r="A55" s="4"/>
      <c r="B55" s="4"/>
      <c r="C55" s="16">
        <f>_xlfn.XLOOKUP(A55,'LCATs &amp; Rates'!$A$5:$A$44,'LCATs &amp; Rates'!$H$5:$H$44)</f>
        <v>0</v>
      </c>
      <c r="D55" s="5"/>
      <c r="E55" s="14">
        <f>$C55*$D55</f>
        <v>0</v>
      </c>
    </row>
    <row r="56" spans="1:6" ht="18" customHeight="1" x14ac:dyDescent="0.2">
      <c r="A56" s="4"/>
      <c r="B56" s="4"/>
      <c r="C56" s="16">
        <f>_xlfn.XLOOKUP(A56,'LCATs &amp; Rates'!$A$5:$A$44,'LCATs &amp; Rates'!$H$5:$H$44)</f>
        <v>0</v>
      </c>
      <c r="D56" s="5"/>
      <c r="E56" s="14">
        <f t="shared" ref="E56:E66" si="2">$C56*$D56</f>
        <v>0</v>
      </c>
    </row>
    <row r="57" spans="1:6" ht="18" customHeight="1" x14ac:dyDescent="0.2">
      <c r="A57" s="4"/>
      <c r="B57" s="4"/>
      <c r="C57" s="16">
        <f>_xlfn.XLOOKUP(A57,'LCATs &amp; Rates'!$A$5:$A$44,'LCATs &amp; Rates'!$H$5:$H$44)</f>
        <v>0</v>
      </c>
      <c r="D57" s="5"/>
      <c r="E57" s="14">
        <f t="shared" si="2"/>
        <v>0</v>
      </c>
    </row>
    <row r="58" spans="1:6" ht="18" customHeight="1" x14ac:dyDescent="0.2">
      <c r="A58" s="4"/>
      <c r="B58" s="4"/>
      <c r="C58" s="16">
        <f>_xlfn.XLOOKUP(A58,'LCATs &amp; Rates'!$A$5:$A$44,'LCATs &amp; Rates'!$H$5:$H$44)</f>
        <v>0</v>
      </c>
      <c r="D58" s="5"/>
      <c r="E58" s="14">
        <f t="shared" si="2"/>
        <v>0</v>
      </c>
    </row>
    <row r="59" spans="1:6" ht="18" customHeight="1" x14ac:dyDescent="0.2">
      <c r="A59" s="4"/>
      <c r="B59" s="4"/>
      <c r="C59" s="16">
        <f>_xlfn.XLOOKUP(A59,'LCATs &amp; Rates'!$A$5:$A$44,'LCATs &amp; Rates'!$H$5:$H$44)</f>
        <v>0</v>
      </c>
      <c r="D59" s="5"/>
      <c r="E59" s="14">
        <f t="shared" si="2"/>
        <v>0</v>
      </c>
    </row>
    <row r="60" spans="1:6" ht="18" customHeight="1" x14ac:dyDescent="0.2">
      <c r="A60" s="4"/>
      <c r="B60" s="4"/>
      <c r="C60" s="16">
        <f>_xlfn.XLOOKUP(A60,'LCATs &amp; Rates'!$A$5:$A$44,'LCATs &amp; Rates'!$H$5:$H$44)</f>
        <v>0</v>
      </c>
      <c r="D60" s="5"/>
      <c r="E60" s="14">
        <f t="shared" si="2"/>
        <v>0</v>
      </c>
    </row>
    <row r="61" spans="1:6" ht="18" customHeight="1" x14ac:dyDescent="0.2">
      <c r="A61" s="4"/>
      <c r="B61" s="4"/>
      <c r="C61" s="16">
        <f>_xlfn.XLOOKUP(A61,'LCATs &amp; Rates'!$A$5:$A$44,'LCATs &amp; Rates'!$H$5:$H$44)</f>
        <v>0</v>
      </c>
      <c r="D61" s="5"/>
      <c r="E61" s="14">
        <f t="shared" si="2"/>
        <v>0</v>
      </c>
    </row>
    <row r="62" spans="1:6" ht="18" customHeight="1" x14ac:dyDescent="0.2">
      <c r="A62" s="4"/>
      <c r="B62" s="4"/>
      <c r="C62" s="16">
        <f>_xlfn.XLOOKUP(A62,'LCATs &amp; Rates'!$A$5:$A$44,'LCATs &amp; Rates'!$H$5:$H$44)</f>
        <v>0</v>
      </c>
      <c r="D62" s="5"/>
      <c r="E62" s="14">
        <f t="shared" si="2"/>
        <v>0</v>
      </c>
    </row>
    <row r="63" spans="1:6" ht="18" customHeight="1" x14ac:dyDescent="0.2">
      <c r="A63" s="8"/>
      <c r="B63" s="8"/>
      <c r="C63" s="16">
        <f>_xlfn.XLOOKUP(A63,'LCATs &amp; Rates'!$A$5:$A$44,'LCATs &amp; Rates'!$H$5:$H$44)</f>
        <v>0</v>
      </c>
      <c r="D63" s="5"/>
      <c r="E63" s="14">
        <f t="shared" si="2"/>
        <v>0</v>
      </c>
    </row>
    <row r="64" spans="1:6" ht="18" customHeight="1" x14ac:dyDescent="0.2">
      <c r="A64" s="8"/>
      <c r="B64" s="8"/>
      <c r="C64" s="16">
        <f>_xlfn.XLOOKUP(A64,'LCATs &amp; Rates'!$A$5:$A$44,'LCATs &amp; Rates'!$H$5:$H$44)</f>
        <v>0</v>
      </c>
      <c r="D64" s="5"/>
      <c r="E64" s="14">
        <f t="shared" si="2"/>
        <v>0</v>
      </c>
    </row>
    <row r="65" spans="1:256" ht="18" customHeight="1" x14ac:dyDescent="0.2">
      <c r="A65" s="8"/>
      <c r="B65" s="8"/>
      <c r="C65" s="16">
        <f>_xlfn.XLOOKUP(A65,'LCATs &amp; Rates'!$A$5:$A$44,'LCATs &amp; Rates'!$H$5:$H$44)</f>
        <v>0</v>
      </c>
      <c r="D65" s="5"/>
      <c r="E65" s="14">
        <f t="shared" si="2"/>
        <v>0</v>
      </c>
    </row>
    <row r="66" spans="1:256" ht="18" customHeight="1" x14ac:dyDescent="0.2">
      <c r="A66" s="8"/>
      <c r="B66" s="8"/>
      <c r="C66" s="16">
        <f>_xlfn.XLOOKUP(A66,'LCATs &amp; Rates'!$A$5:$A$44,'LCATs &amp; Rates'!$H$5:$H$44)</f>
        <v>0</v>
      </c>
      <c r="D66" s="5"/>
      <c r="E66" s="14">
        <f t="shared" si="2"/>
        <v>0</v>
      </c>
    </row>
    <row r="67" spans="1:256" ht="18" customHeight="1" x14ac:dyDescent="0.2">
      <c r="A67" s="9" t="s">
        <v>52</v>
      </c>
      <c r="B67" s="9"/>
      <c r="C67" s="10"/>
      <c r="D67" s="10"/>
      <c r="E67" s="15">
        <f>SUM(E55:E66)</f>
        <v>0</v>
      </c>
    </row>
    <row r="68" spans="1:256" s="6" customFormat="1" ht="18" customHeight="1" x14ac:dyDescent="0.2">
      <c r="A68" s="9" t="s">
        <v>53</v>
      </c>
      <c r="E68" s="42">
        <v>2</v>
      </c>
      <c r="IS68" s="7"/>
      <c r="IT68" s="7"/>
      <c r="IU68" s="7"/>
      <c r="IV68" s="7"/>
    </row>
    <row r="69" spans="1:256" s="6" customFormat="1" ht="16.5" customHeight="1" x14ac:dyDescent="0.2">
      <c r="A69" s="9" t="s">
        <v>54</v>
      </c>
      <c r="E69" s="42">
        <v>26</v>
      </c>
      <c r="IS69" s="7"/>
      <c r="IT69" s="7"/>
      <c r="IU69" s="7"/>
      <c r="IV69" s="7"/>
    </row>
    <row r="70" spans="1:256" s="6" customFormat="1" ht="16.5" customHeight="1" x14ac:dyDescent="0.2">
      <c r="A70" s="9" t="s">
        <v>69</v>
      </c>
      <c r="E70" s="41">
        <f>E67*E68*E69</f>
        <v>0</v>
      </c>
      <c r="IS70" s="7"/>
      <c r="IT70" s="7"/>
      <c r="IU70" s="7"/>
      <c r="IV70" s="7"/>
    </row>
    <row r="71" spans="1:256" s="6" customFormat="1" ht="16.5" customHeight="1" x14ac:dyDescent="0.2">
      <c r="A71" s="9"/>
      <c r="E71" s="39"/>
      <c r="IS71" s="7"/>
      <c r="IT71" s="7"/>
      <c r="IU71" s="7"/>
      <c r="IV71" s="7"/>
    </row>
    <row r="72" spans="1:256" ht="18" customHeight="1" x14ac:dyDescent="0.2">
      <c r="A72" s="9" t="s">
        <v>56</v>
      </c>
      <c r="B72" s="10"/>
      <c r="C72" s="10"/>
      <c r="D72" s="10"/>
      <c r="E72" s="10"/>
    </row>
    <row r="73" spans="1:256" ht="18" customHeight="1" x14ac:dyDescent="0.2">
      <c r="A73" s="12" t="s">
        <v>57</v>
      </c>
      <c r="B73" s="12" t="s">
        <v>58</v>
      </c>
      <c r="C73" s="12" t="s">
        <v>59</v>
      </c>
      <c r="D73" s="12" t="s">
        <v>14</v>
      </c>
      <c r="E73" s="12" t="s">
        <v>60</v>
      </c>
      <c r="F73" s="12" t="s">
        <v>61</v>
      </c>
    </row>
    <row r="74" spans="1:256" ht="18" customHeight="1" x14ac:dyDescent="0.2">
      <c r="A74" s="13" t="s">
        <v>62</v>
      </c>
      <c r="B74" s="19" t="s">
        <v>24</v>
      </c>
      <c r="C74" s="17">
        <v>1</v>
      </c>
      <c r="D74" s="17" t="s">
        <v>25</v>
      </c>
      <c r="E74" s="18">
        <v>0</v>
      </c>
      <c r="F74" s="20">
        <f>E74*C74</f>
        <v>0</v>
      </c>
    </row>
    <row r="75" spans="1:256" ht="15" x14ac:dyDescent="0.2">
      <c r="A75" s="13" t="s">
        <v>62</v>
      </c>
      <c r="B75" s="19" t="s">
        <v>63</v>
      </c>
      <c r="C75" s="17">
        <v>1</v>
      </c>
      <c r="D75" s="17" t="s">
        <v>25</v>
      </c>
      <c r="E75" s="18">
        <v>0</v>
      </c>
      <c r="F75" s="20">
        <f>E75*C75</f>
        <v>0</v>
      </c>
    </row>
    <row r="76" spans="1:256" ht="15" x14ac:dyDescent="0.2">
      <c r="A76" s="21"/>
      <c r="B76" s="21"/>
      <c r="C76" s="21"/>
      <c r="D76" s="21"/>
      <c r="E76" s="22" t="s">
        <v>64</v>
      </c>
      <c r="F76" s="23">
        <f>SUM(F74:F75)</f>
        <v>0</v>
      </c>
    </row>
  </sheetData>
  <autoFilter ref="A2:E15" xr:uid="{B9DFE324-DC59-4577-B881-6DD96FBF83DE}"/>
  <pageMargins left="0.5" right="0.5" top="0.75" bottom="0.75" header="0.27777800000000002" footer="0.27777800000000002"/>
  <pageSetup orientation="portrait"/>
  <headerFooter>
    <oddFooter>&amp;C&amp;"Helvetica,Regular"&amp;12&amp;K000000&amp;P_x000D_&amp;1#&amp;"Calibri"&amp;14&amp;K000000 SBU - CONTRACTING AND ACQUISITIONS</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AA15C08-E458-4AB6-A79F-E614478C36EC}">
          <x14:formula1>
            <xm:f>'LCATs &amp; Rates'!$A$5:$A$35</xm:f>
          </x14:formula1>
          <xm:sqref>A3:A14 A29:A40 A55:A66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a69a573f-d9ba-4579-a086-b263b094374c">KF5WEYNCR37H-76206695-956</_dlc_DocId>
    <_dlc_DocIdUrl xmlns="a69a573f-d9ba-4579-a086-b263b094374c">
      <Url>https://usdos.sharepoint.com/sites/CA-CST/SSPM/C%26A/pre-award/_layouts/15/DocIdRedir.aspx?ID=KF5WEYNCR37H-76206695-956</Url>
      <Description>KF5WEYNCR37H-76206695-956</Description>
    </_dlc_DocIdUrl>
    <Contractor xmlns="d77bf4ac-e0cd-4c50-833f-193470268bd8" xsi:nil="true"/>
    <ContractNumber xmlns="d77bf4ac-e0cd-4c50-833f-193470268bd8"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50ED948DF3F36449DB7D477B4F03127" ma:contentTypeVersion="10" ma:contentTypeDescription="Create a new document." ma:contentTypeScope="" ma:versionID="c58497dea2f0310390abadabcb11135f">
  <xsd:schema xmlns:xsd="http://www.w3.org/2001/XMLSchema" xmlns:xs="http://www.w3.org/2001/XMLSchema" xmlns:p="http://schemas.microsoft.com/office/2006/metadata/properties" xmlns:ns2="a69a573f-d9ba-4579-a086-b263b094374c" xmlns:ns3="d77bf4ac-e0cd-4c50-833f-193470268bd8" xmlns:ns4="a78808ab-de49-439a-8e8f-de732d4f9da9" xmlns:ns5="357841ce-0930-449b-966f-6f5fe015d37b" targetNamespace="http://schemas.microsoft.com/office/2006/metadata/properties" ma:root="true" ma:fieldsID="9fbdcf2d000ae6761a7cff46a7ddd692" ns2:_="" ns3:_="" ns4:_="" ns5:_="">
    <xsd:import namespace="a69a573f-d9ba-4579-a086-b263b094374c"/>
    <xsd:import namespace="d77bf4ac-e0cd-4c50-833f-193470268bd8"/>
    <xsd:import namespace="a78808ab-de49-439a-8e8f-de732d4f9da9"/>
    <xsd:import namespace="357841ce-0930-449b-966f-6f5fe015d37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Contractor" minOccurs="0"/>
                <xsd:element ref="ns3:ContractNumber" minOccurs="0"/>
                <xsd:element ref="ns4:SharedWithUsers" minOccurs="0"/>
                <xsd:element ref="ns5: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a573f-d9ba-4579-a086-b263b094374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77bf4ac-e0cd-4c50-833f-193470268b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Contractor" ma:index="13" nillable="true" ma:displayName="Contractor" ma:internalName="Contractor">
      <xsd:simpleType>
        <xsd:restriction base="dms:Text">
          <xsd:maxLength value="255"/>
        </xsd:restriction>
      </xsd:simpleType>
    </xsd:element>
    <xsd:element name="ContractNumber" ma:index="14" nillable="true" ma:displayName="Contract Number" ma:format="Dropdown" ma:internalName="ContractNumber" ma:percentage="FALSE">
      <xsd:simpleType>
        <xsd:restriction base="dms:Number"/>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8808ab-de49-439a-8e8f-de732d4f9da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7841ce-0930-449b-966f-6f5fe015d37b" elementFormDefault="qualified">
    <xsd:import namespace="http://schemas.microsoft.com/office/2006/documentManagement/types"/>
    <xsd:import namespace="http://schemas.microsoft.com/office/infopath/2007/PartnerControls"/>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CA152C-3077-4615-93F4-D85A908792A0}">
  <ds:schemaRefs>
    <ds:schemaRef ds:uri="http://schemas.microsoft.com/sharepoint/events"/>
    <ds:schemaRef ds:uri=""/>
  </ds:schemaRefs>
</ds:datastoreItem>
</file>

<file path=customXml/itemProps2.xml><?xml version="1.0" encoding="utf-8"?>
<ds:datastoreItem xmlns:ds="http://schemas.openxmlformats.org/officeDocument/2006/customXml" ds:itemID="{54FA8AA5-B2FA-42B8-BC20-64B12ED94EEC}">
  <ds:schemaRefs>
    <ds:schemaRef ds:uri="http://schemas.microsoft.com/sharepoint/v3/contenttype/forms"/>
  </ds:schemaRefs>
</ds:datastoreItem>
</file>

<file path=customXml/itemProps3.xml><?xml version="1.0" encoding="utf-8"?>
<ds:datastoreItem xmlns:ds="http://schemas.openxmlformats.org/officeDocument/2006/customXml" ds:itemID="{8A4512A6-ABE6-40AC-ACE0-F845A061730C}">
  <ds:schemaRefs>
    <ds:schemaRef ds:uri="http://schemas.microsoft.com/office/2006/metadata/properties"/>
    <ds:schemaRef ds:uri="http://schemas.microsoft.com/office/infopath/2007/PartnerControls"/>
    <ds:schemaRef ds:uri="a69a573f-d9ba-4579-a086-b263b094374c"/>
    <ds:schemaRef ds:uri="d77bf4ac-e0cd-4c50-833f-193470268bd8"/>
  </ds:schemaRefs>
</ds:datastoreItem>
</file>

<file path=customXml/itemProps4.xml><?xml version="1.0" encoding="utf-8"?>
<ds:datastoreItem xmlns:ds="http://schemas.openxmlformats.org/officeDocument/2006/customXml" ds:itemID="{E0A5C3DE-FB9D-413D-86EF-CA032DE8D7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9a573f-d9ba-4579-a086-b263b094374c"/>
    <ds:schemaRef ds:uri="d77bf4ac-e0cd-4c50-833f-193470268bd8"/>
    <ds:schemaRef ds:uri="a78808ab-de49-439a-8e8f-de732d4f9da9"/>
    <ds:schemaRef ds:uri="357841ce-0930-449b-966f-6f5fe015d3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Instructions</vt:lpstr>
      <vt:lpstr>LCATs &amp; Rates</vt:lpstr>
      <vt:lpstr>BASE &amp; OPTION</vt:lpstr>
      <vt:lpstr>BASE &amp; OPTION_Project Manager</vt:lpstr>
      <vt:lpstr>BASE &amp; OPTION_Product Design</vt:lpstr>
      <vt:lpstr>BASE &amp; OPTION_Engineering</vt:lpstr>
      <vt:lpstr>BASE &amp; OPTION_DevOps</vt:lpstr>
      <vt:lpstr>BASE &amp; OPTION_On Call Support</vt:lpstr>
      <vt:lpstr>5a_Project Manager</vt:lpstr>
      <vt:lpstr>5b_Product Design</vt:lpstr>
      <vt:lpstr>5c_Engineering</vt:lpstr>
      <vt:lpstr>5d_DevOps</vt:lpstr>
      <vt:lpstr>'BASE &amp; OPTION'!_Hlk183085033</vt:lpstr>
      <vt:lpstr>'BASE &amp; OPTION'!_Hlk183096932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Wehmueller, Kevin J. EOP/OMB</dc:creator>
  <cp:keywords/>
  <dc:description/>
  <cp:lastModifiedBy>Lapedra Tolson</cp:lastModifiedBy>
  <cp:revision/>
  <dcterms:created xsi:type="dcterms:W3CDTF">2024-03-07T19:38:54Z</dcterms:created>
  <dcterms:modified xsi:type="dcterms:W3CDTF">2025-11-18T16:41:38Z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0x010100950ED948DF3F36449DB7D477B4F03127</vt:lpwstr>
  </property>
  <property fmtid="{D5CDD505-2E9C-101B-9397-08002B2CF9AE}" pid="3" name="_dlc_DocIdItemGuid">
    <vt:lpwstr>41238f43-bad6-48de-8aaf-477f45ace3ce</vt:lpwstr>
  </property>
  <property fmtid="{D5CDD505-2E9C-101B-9397-08002B2CF9AE}" pid="4" name="MSIP_Label_64935d9c-5008-41b6-b673-5260c05a41c9_Enabled">
    <vt:lpwstr>true</vt:lpwstr>
  </property>
  <property fmtid="{D5CDD505-2E9C-101B-9397-08002B2CF9AE}" pid="5" name="MSIP_Label_64935d9c-5008-41b6-b673-5260c05a41c9_SetDate">
    <vt:lpwstr>2024-03-08T15:52:15Z</vt:lpwstr>
  </property>
  <property fmtid="{D5CDD505-2E9C-101B-9397-08002B2CF9AE}" pid="6" name="MSIP_Label_64935d9c-5008-41b6-b673-5260c05a41c9_Method">
    <vt:lpwstr>Privileged</vt:lpwstr>
  </property>
  <property fmtid="{D5CDD505-2E9C-101B-9397-08002B2CF9AE}" pid="7" name="MSIP_Label_64935d9c-5008-41b6-b673-5260c05a41c9_Name">
    <vt:lpwstr>64935d9c-5008-41b6-b673-5260c05a41c9</vt:lpwstr>
  </property>
  <property fmtid="{D5CDD505-2E9C-101B-9397-08002B2CF9AE}" pid="8" name="MSIP_Label_64935d9c-5008-41b6-b673-5260c05a41c9_SiteId">
    <vt:lpwstr>66cf5074-5afe-48d1-a691-a12b2121f44b</vt:lpwstr>
  </property>
  <property fmtid="{D5CDD505-2E9C-101B-9397-08002B2CF9AE}" pid="9" name="MSIP_Label_64935d9c-5008-41b6-b673-5260c05a41c9_ActionId">
    <vt:lpwstr>a572cf74-e87e-43cc-a155-45188ffb99a5</vt:lpwstr>
  </property>
  <property fmtid="{D5CDD505-2E9C-101B-9397-08002B2CF9AE}" pid="10" name="MSIP_Label_64935d9c-5008-41b6-b673-5260c05a41c9_ContentBits">
    <vt:lpwstr>2</vt:lpwstr>
  </property>
</Properties>
</file>